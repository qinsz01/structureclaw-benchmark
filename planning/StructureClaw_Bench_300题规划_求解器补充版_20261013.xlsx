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eba8b2be8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口径" sheetId="1" r:id="Rb8ed7c19ff994487"/>
    <x:sheet xmlns:r="http://schemas.openxmlformats.org/officeDocument/2006/relationships" name="300题规划" sheetId="2" r:id="R20486b3db8af4dd3"/>
    <x:sheet xmlns:r="http://schemas.openxmlformats.org/officeDocument/2006/relationships" name="300个模型" sheetId="3" r:id="R1be3a7c8cfe14cac"/>
    <x:sheet xmlns:r="http://schemas.openxmlformats.org/officeDocument/2006/relationships" name="旧题对照150" sheetId="4" r:id="R92e9f9b9ad31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sz val="10"/>
      <x:color rgb="FF16324F"/>
      <x:name val="Microsoft YaHei"/>
    </x:font>
    <x:font>
      <x:b/>
      <x:sz val="10"/>
      <x:color rgb="FFFFFFFF"/>
      <x:name val="Microsoft YaHei"/>
    </x:font>
    <x:font>
      <x:b/>
      <x:sz val="10"/>
      <x:color rgb="FF0A756E"/>
      <x:name val="Microsoft YaHei"/>
    </x:font>
    <x:font>
      <x:b/>
      <x:sz val="10"/>
      <x:color rgb="FF173E59"/>
      <x:name val="Microsoft YaHei"/>
    </x:font>
    <x:font>
      <x:b/>
      <x:sz val="10"/>
      <x:color rgb="FF64748B"/>
      <x:name val="Microsoft YaHei"/>
    </x:font>
    <x:font>
      <x:b/>
      <x:sz val="20"/>
      <x:color rgb="FF173E59"/>
      <x:name val="Microsoft YaHei"/>
    </x:font>
    <x:font>
      <x:sz val="10"/>
      <x:color rgb="FF526477"/>
      <x:name val="Microsoft YaHei"/>
    </x:font>
    <x:font>
      <x:b/>
      <x:sz val="11"/>
      <x:color rgb="FF173E59"/>
      <x:name val="Microsoft YaHei"/>
    </x:font>
    <x:font>
      <x:b/>
      <x:sz val="13"/>
      <x:color rgb="FF0A756E"/>
      <x:name val="Microsoft YaHei"/>
    </x:font>
    <x:font>
      <x:b/>
      <x:sz val="10"/>
      <x:color rgb="FF16324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E59"/>
      </x:patternFill>
    </x:fill>
    <x:fill>
      <x:patternFill patternType="solid">
        <x:fgColor rgb="FFF6F8FA"/>
      </x:patternFill>
    </x:fill>
    <x:fill>
      <x:patternFill patternType="solid">
        <x:fgColor rgb="FF0A756E"/>
      </x:patternFill>
    </x:fill>
    <x:fill>
      <x:patternFill patternType="solid">
        <x:fgColor rgb="FFEDF4FA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CE5EC"/>
      </x:bottom>
      <x:diagonal/>
    </x:border>
    <x:border>
      <x:left/>
      <x:right/>
      <x:top style="thin">
        <x:color rgb="FFDCE5EC"/>
      </x:top>
      <x:bottom style="thin">
        <x:color rgb="FFDCE5EC"/>
      </x:bottom>
      <x:diagonal/>
    </x:border>
    <x:border>
      <x:left/>
      <x:right/>
      <x:top style="thin">
        <x:color rgb="FFDCE5EC"/>
      </x:top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4" borderId="2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0" fontId="1" fillId="4" borderId="2" xfId="0" applyNumberFormat="1" applyFont="1" applyFill="1" applyBorder="1" applyAlignment="1">
      <x:alignment horizontal="center" vertical="top" wrapText="1"/>
    </x:xf>
    <x:xf numFmtId="200" fontId="1" fillId="2" borderId="2" xfId="0" applyNumberFormat="1" applyFont="1" applyFill="1" applyBorder="1" applyAlignment="1">
      <x:alignment horizontal="center" vertical="top" wrapText="1"/>
    </x:xf>
    <x:xf numFmtId="200" fontId="1" fillId="4" borderId="3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horizontal="center" vertical="top" wrapText="1"/>
    </x:xf>
    <x:xf numFmtId="0" fontId="10" fillId="6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0" fillId="6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200" fontId="10" fillId="6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06445"/>
      </x:font>
      <x:fill>
        <x:patternFill patternType="solid">
          <x:bgColor rgb="FFE6F3EC"/>
        </x:patternFill>
      </x:fill>
    </x:dxf>
    <x:dxf>
      <x:font>
        <x:b/>
        <x:color rgb="FF245D8C"/>
      </x:font>
      <x:fill>
        <x:patternFill patternType="solid">
          <x:bgColor rgb="FFEDF4FA"/>
        </x:patternFill>
      </x:fill>
    </x:dxf>
    <x:dxf>
      <x:font>
        <x:b/>
        <x:color rgb="FF855C13"/>
      </x:font>
      <x:fill>
        <x:patternFill patternType="solid">
          <x:bgColor rgb="FFFFF3D5"/>
        </x:patternFill>
      </x:fill>
    </x:dxf>
    <x:dxf>
      <x:font>
        <x:color rgb="FF855C13"/>
      </x:font>
      <x:fill>
        <x:patternFill patternType="solid">
          <x:bgColor rgb="FFFFF3D5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color rgb="FF855C13"/>
      </x:font>
      <x:fill>
        <x:patternFill patternType="solid">
          <x:bgColor rgb="FFFFF3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333e7521246b6" /><Relationship Type="http://schemas.openxmlformats.org/officeDocument/2006/relationships/theme" Target="/xl/theme/theme1.xml" Id="Rbae293f4da534751" /><Relationship Type="http://schemas.openxmlformats.org/officeDocument/2006/relationships/sharedStrings" Target="/xl/sharedStrings.xml" Id="Ra94c946dd2964df6" /><Relationship Type="http://schemas.openxmlformats.org/officeDocument/2006/relationships/worksheet" Target="/xl/worksheets/sheet1.xml" Id="Rb8ed7c19ff994487" /><Relationship Type="http://schemas.openxmlformats.org/officeDocument/2006/relationships/worksheet" Target="/xl/worksheets/sheet2.xml" Id="R20486b3db8af4dd3" /><Relationship Type="http://schemas.openxmlformats.org/officeDocument/2006/relationships/worksheet" Target="/xl/worksheets/sheet3.xml" Id="R1be3a7c8cfe14cac" /><Relationship Type="http://schemas.openxmlformats.org/officeDocument/2006/relationships/worksheet" Target="/xl/worksheets/sheet4.xml" Id="R92e9f9b9ad314697" /></Relationships>
</file>

<file path=xl/tables/table1.xml><?xml version="1.0" encoding="utf-8"?>
<x:table xmlns:x="http://schemas.openxmlformats.org/spreadsheetml/2006/main" id="1" name="BenchTaskPlan" displayName="BenchTaskPlan" ref="A1:AF301" headerRowCount="1" totalsRowCount="0" totalsRowShown="0">
  <x:autoFilter ref="A1:AF301"/>
  <x:tableColumns count="32">
    <x:tableColumn id="1" name="新题 ID"/>
    <x:tableColumn id="2" name="任务大类"/>
    <x:tableColumn id="3" name="独立模型 ID"/>
    <x:tableColumn id="4" name="拟定题目"/>
    <x:tableColumn id="5" name="结构类别"/>
    <x:tableColumn id="6" name="维度"/>
    <x:tableColumn id="7" name="本题侧重"/>
    <x:tableColumn id="8" name="预设难度"/>
    <x:tableColumn id="9" name="难度依据"/>
    <x:tableColumn id="10" name="任务语言"/>
    <x:tableColumn id="11" name="输入形式"/>
    <x:tableColumn id="12" name="用户轮数"/>
    <x:tableColumn id="13" name="具体场景与任务过程"/>
    <x:tableColumn id="14" name="建模关键点"/>
    <x:tableColumn id="15" name="需要展示的关键结果"/>
    <x:tableColumn id="16" name="评分核对要点"/>
    <x:tableColumn id="17" name="来源类型"/>
    <x:tableColumn id="18" name="旧题主来源 ID"/>
    <x:tableColumn id="19" name="旧题辅助来源 ID"/>
    <x:tableColumn id="20" name="沿用与改编说明"/>
    <x:tableColumn id="21" name="标答软件与独立校核计划"/>
    <x:tableColumn id="22" name="工具及素材前提"/>
    <x:tableColumn id="23" name="当前状态"/>
    <x:tableColumn id="24" name="工程场景适用软件"/>
    <x:tableColumn id="25" name="拟定执行软件"/>
    <x:tableColumn id="26" name="软件分配依据"/>
    <x:tableColumn id="27" name="指定软件执行要求"/>
    <x:tableColumn id="28" name="当前接入状态"/>
    <x:tableColumn id="29" name="接口缺口与补齐事项"/>
    <x:tableColumn id="30" name="分析设置与等价性"/>
    <x:tableColumn id="31" name="必须保留的计算证据"/>
    <x:tableColumn id="32" name="能力判断依据代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ependentModels" displayName="IndependentModels" ref="A1:Q301" headerRowCount="1" totalsRowCount="0" totalsRowShown="0">
  <x:autoFilter ref="A1:Q301"/>
  <x:tableColumns count="17">
    <x:tableColumn id="1" name="独立模型 ID"/>
    <x:tableColumn id="2" name="对应题 ID"/>
    <x:tableColumn id="3" name="模型名称"/>
    <x:tableColumn id="4" name="结构类别"/>
    <x:tableColumn id="5" name="维度"/>
    <x:tableColumn id="6" name="基础建模难度"/>
    <x:tableColumn id="7" name="几何、支座与荷载场景"/>
    <x:tableColumn id="8" name="主要建模难点"/>
    <x:tableColumn id="9" name="基础旧题 ID"/>
    <x:tableColumn id="10" name="旧来源的标答 ID"/>
    <x:tableColumn id="11" name="实质差异与独立性"/>
    <x:tableColumn id="12" name="能力前提"/>
    <x:tableColumn id="13" name="编题时仍需补齐"/>
    <x:tableColumn id="14" name="模型状态"/>
    <x:tableColumn id="15" name="关联任务数"/>
    <x:tableColumn id="16" name="拟定执行软件"/>
    <x:tableColumn id="17" name="当前接入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ldCaseLineage" displayName="OldCaseLineage" ref="A1:N151" headerRowCount="1" totalsRowCount="0" totalsRowShown="0">
  <x:autoFilter ref="A1:N151"/>
  <x:tableColumns count="14">
    <x:tableColumn id="1" name="旧题 ID"/>
    <x:tableColumn id="2" name="原任务大类"/>
    <x:tableColumn id="3" name="原题描述"/>
    <x:tableColumn id="4" name="原难度"/>
    <x:tableColumn id="5" name="原语言"/>
    <x:tableColumn id="6" name="原输入模态"/>
    <x:tableColumn id="7" name="原用户轮数"/>
    <x:tableColumn id="8" name="旧标答引用 ID"/>
    <x:tableColumn id="9" name="源文件（本地）"/>
    <x:tableColumn id="10" name="新题来源引用数"/>
    <x:tableColumn id="11" name="模型来源引用数"/>
    <x:tableColumn id="12" name="本次处理建议"/>
    <x:tableColumn id="13" name="旧附件路径（仓库内）"/>
    <x:tableColumn id="14" name="旧题指定求解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879b5819ae44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c7a23d0b034d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0ba242821442cd" /></Relationships>
</file>

<file path=xl/worksheets/sheet1.xml><?xml version="1.0" encoding="utf-8"?>
<x:worksheet xmlns:x="http://schemas.openxmlformats.org/spreadsheetml/2006/main">
  <x:sheetPr>
    <x:tabColor rgb="FF0A75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.75" hidden="0" customWidth="1"/>
    <x:col min="2" max="2" width="14" hidden="0" customWidth="1"/>
    <x:col min="3" max="3" width="12.5" hidden="0" customWidth="1"/>
    <x:col min="4" max="4" width="15.25" hidden="0" customWidth="1"/>
    <x:col min="5" max="5" width="14.25" hidden="0" customWidth="1"/>
    <x:col min="6" max="6" width="17.5" hidden="0" customWidth="1"/>
    <x:col min="7" max="7" width="13.880000114440918" hidden="0" customWidth="1"/>
    <x:col min="8" max="8" width="16.8799991607666" hidden="0" customWidth="1"/>
    <x:col min="9" max="9" width="20" hidden="0" customWidth="1"/>
  </x:cols>
  <x:sheetData>
    <x:row r="1" ht="21.75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2.25" customHeight="1">
      <x:c r="A2" s="35" t="str">
        <x:v>StructureClaw Bench · 300 题逐题规划</x:v>
      </x:c>
      <x:c r="B2" s="35"/>
      <x:c r="C2" s="35"/>
      <x:c r="D2" s="35"/>
      <x:c r="E2" s="35"/>
      <x:c r="F2" s="35"/>
      <x:c r="G2" s="35"/>
      <x:c r="H2" s="35"/>
      <x:c r="I2" s="35"/>
    </x:row>
    <x:row r="3" ht="21.75" customHeight="1">
      <x:c r="A3" s="36" t="str">
        <x:v>2026-10-13  |  规划稿 v2：求解器与能力边界  |  一题一模型，按工程场景分配软件</x:v>
      </x:c>
      <x:c r="B3" s="36"/>
      <x:c r="C3" s="36"/>
      <x:c r="D3" s="36"/>
      <x:c r="E3" s="36"/>
      <x:c r="F3" s="36"/>
      <x:c r="G3" s="36"/>
      <x:c r="H3" s="36"/>
      <x:c r="I3" s="36"/>
    </x:row>
    <x:row r="4" ht="21.75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26.25" customHeight="1">
      <x:c r="A5" s="38" t="str">
        <x:v>计划任务总数</x:v>
      </x:c>
      <x:c r="B5" s="38"/>
      <x:c r="C5" s="40" t="n">
        <x:f>COUNTA('300题规划'!A2:A301)</x:f>
        <x:v>300</x:v>
      </x:c>
      <x:c r="D5" s="38" t="str">
        <x:v>独立模型总数</x:v>
      </x:c>
      <x:c r="E5" s="38"/>
      <x:c r="F5" s="40" t="n">
        <x:f>COUNTA('300个模型'!A2:A301)</x:f>
        <x:v>300</x:v>
      </x:c>
      <x:c r="G5" s="38" t="str">
        <x:v>核验旧题数</x:v>
      </x:c>
      <x:c r="H5" s="38"/>
      <x:c r="I5" s="40" t="n">
        <x:f>COUNTA('旧题对照150'!A2:A151)</x:f>
        <x:v>150</x:v>
      </x:c>
    </x:row>
    <x:row r="6" ht="21.75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29.25" customHeight="1">
      <x:c r="A7" s="10" t="str">
        <x:v>任务大类</x:v>
      </x:c>
      <x:c r="B7" s="10" t="str">
        <x:v>题数</x:v>
      </x:c>
      <x:c r="C7" s="10" t="str">
        <x:v>L1</x:v>
      </x:c>
      <x:c r="D7" s="10" t="str">
        <x:v>L2</x:v>
      </x:c>
      <x:c r="E7" s="10" t="str">
        <x:v>L3</x:v>
      </x:c>
      <x:c r="F7" s="10" t="str">
        <x:v>中文</x:v>
      </x:c>
      <x:c r="G7" s="10" t="str">
        <x:v>英文</x:v>
      </x:c>
      <x:c r="H7" s="10" t="str">
        <x:v>旧题改编/沿用</x:v>
      </x:c>
      <x:c r="I7" s="10" t="str">
        <x:v>新增</x:v>
      </x:c>
    </x:row>
    <x:row r="8" ht="21.75" customHeight="1">
      <x:c r="A8" s="3" t="str">
        <x:v>标准工作流</x:v>
      </x:c>
      <x:c r="B8" s="44" t="n">
        <x:f>COUNTIFS('300题规划'!$B$2:$B$301,$A8)</x:f>
        <x:v>100</x:v>
      </x:c>
      <x:c r="C8" s="44" t="n">
        <x:f>COUNTIFS('300题规划'!$B$2:$B$301,$A8,'300题规划'!$H$2:$H$301,"L1")</x:f>
        <x:v>10</x:v>
      </x:c>
      <x:c r="D8" s="44" t="n">
        <x:f>COUNTIFS('300题规划'!$B$2:$B$301,$A8,'300题规划'!$H$2:$H$301,"L2")</x:f>
        <x:v>49</x:v>
      </x:c>
      <x:c r="E8" s="44" t="n">
        <x:f>COUNTIFS('300题规划'!$B$2:$B$301,$A8,'300题规划'!$H$2:$H$301,"L3")</x:f>
        <x:v>41</x:v>
      </x:c>
      <x:c r="F8" s="44" t="n">
        <x:f>COUNTIFS('300题规划'!$B$2:$B$301,$A8,'300题规划'!$J$2:$J$301,"中文")</x:f>
        <x:v>50</x:v>
      </x:c>
      <x:c r="G8" s="44" t="n">
        <x:f>COUNTIFS('300题规划'!$B$2:$B$301,$A8,'300题规划'!$J$2:$J$301,"英文")</x:f>
        <x:v>50</x:v>
      </x:c>
      <x:c r="H8" s="44" t="n">
        <x:f>COUNTIFS('300题规划'!$B$2:$B$301,$A8,'300题规划'!$Q$2:$Q$301,"旧题改编")+COUNTIFS('300题规划'!$B$2:$B$301,$A8,'300题规划'!$Q$2:$Q$301,"旧题沿用")</x:f>
        <x:v>40</x:v>
      </x:c>
      <x:c r="I8" s="44" t="n">
        <x:f>COUNTIFS('300题规划'!$B$2:$B$301,$A8,'300题规划'!$Q$2:$Q$301,"新增")</x:f>
        <x:v>60</x:v>
      </x:c>
    </x:row>
    <x:row r="9" ht="21.75" customHeight="1">
      <x:c r="A9" s="3" t="str">
        <x:v>交互鲁棒性</x:v>
      </x:c>
      <x:c r="B9" s="44" t="n">
        <x:f>COUNTIFS('300题规划'!$B$2:$B$301,$A9)</x:f>
        <x:v>100</x:v>
      </x:c>
      <x:c r="C9" s="44" t="n">
        <x:f>COUNTIFS('300题规划'!$B$2:$B$301,$A9,'300题规划'!$H$2:$H$301,"L1")</x:f>
        <x:v>3</x:v>
      </x:c>
      <x:c r="D9" s="44" t="n">
        <x:f>COUNTIFS('300题规划'!$B$2:$B$301,$A9,'300题规划'!$H$2:$H$301,"L2")</x:f>
        <x:v>54</x:v>
      </x:c>
      <x:c r="E9" s="44" t="n">
        <x:f>COUNTIFS('300题规划'!$B$2:$B$301,$A9,'300题规划'!$H$2:$H$301,"L3")</x:f>
        <x:v>43</x:v>
      </x:c>
      <x:c r="F9" s="44" t="n">
        <x:f>COUNTIFS('300题规划'!$B$2:$B$301,$A9,'300题规划'!$J$2:$J$301,"中文")</x:f>
        <x:v>50</x:v>
      </x:c>
      <x:c r="G9" s="44" t="n">
        <x:f>COUNTIFS('300题规划'!$B$2:$B$301,$A9,'300题规划'!$J$2:$J$301,"英文")</x:f>
        <x:v>50</x:v>
      </x:c>
      <x:c r="H9" s="44" t="n">
        <x:f>COUNTIFS('300题规划'!$B$2:$B$301,$A9,'300题规划'!$Q$2:$Q$301,"旧题改编")+COUNTIFS('300题规划'!$B$2:$B$301,$A9,'300题规划'!$Q$2:$Q$301,"旧题沿用")</x:f>
        <x:v>27</x:v>
      </x:c>
      <x:c r="I9" s="44" t="n">
        <x:f>COUNTIFS('300题规划'!$B$2:$B$301,$A9,'300题规划'!$Q$2:$Q$301,"新增")</x:f>
        <x:v>73</x:v>
      </x:c>
    </x:row>
    <x:row r="10" ht="21.75" customHeight="1">
      <x:c r="A10" s="3" t="str">
        <x:v>多模态逆向建模</x:v>
      </x:c>
      <x:c r="B10" s="44" t="n">
        <x:f>COUNTIFS('300题规划'!$B$2:$B$301,$A10)</x:f>
        <x:v>100</x:v>
      </x:c>
      <x:c r="C10" s="44" t="n">
        <x:f>COUNTIFS('300题规划'!$B$2:$B$301,$A10,'300题规划'!$H$2:$H$301,"L1")</x:f>
        <x:v>3</x:v>
      </x:c>
      <x:c r="D10" s="44" t="n">
        <x:f>COUNTIFS('300题规划'!$B$2:$B$301,$A10,'300题规划'!$H$2:$H$301,"L2")</x:f>
        <x:v>27</x:v>
      </x:c>
      <x:c r="E10" s="44" t="n">
        <x:f>COUNTIFS('300题规划'!$B$2:$B$301,$A10,'300题规划'!$H$2:$H$301,"L3")</x:f>
        <x:v>70</x:v>
      </x:c>
      <x:c r="F10" s="44" t="n">
        <x:f>COUNTIFS('300题规划'!$B$2:$B$301,$A10,'300题规划'!$J$2:$J$301,"中文")</x:f>
        <x:v>50</x:v>
      </x:c>
      <x:c r="G10" s="44" t="n">
        <x:f>COUNTIFS('300题规划'!$B$2:$B$301,$A10,'300题规划'!$J$2:$J$301,"英文")</x:f>
        <x:v>50</x:v>
      </x:c>
      <x:c r="H10" s="44" t="n">
        <x:f>COUNTIFS('300题规划'!$B$2:$B$301,$A10,'300题规划'!$Q$2:$Q$301,"旧题改编")+COUNTIFS('300题规划'!$B$2:$B$301,$A10,'300题规划'!$Q$2:$Q$301,"旧题沿用")</x:f>
        <x:v>19</x:v>
      </x:c>
      <x:c r="I10" s="44" t="n">
        <x:f>COUNTIFS('300题规划'!$B$2:$B$301,$A10,'300题规划'!$Q$2:$Q$301,"新增")</x:f>
        <x:v>81</x:v>
      </x:c>
    </x:row>
    <x:row r="11" ht="21.75" customHeight="1">
      <x:c r="A11" s="41" t="str">
        <x:v>合计</x:v>
      </x:c>
      <x:c r="B11" s="45" t="n">
        <x:f>SUM(B8:B10)</x:f>
        <x:v>300</x:v>
      </x:c>
      <x:c r="C11" s="45" t="n">
        <x:f>SUM(C8:C10)</x:f>
        <x:v>16</x:v>
      </x:c>
      <x:c r="D11" s="45" t="n">
        <x:f>SUM(D8:D10)</x:f>
        <x:v>130</x:v>
      </x:c>
      <x:c r="E11" s="45" t="n">
        <x:f>SUM(E8:E10)</x:f>
        <x:v>154</x:v>
      </x:c>
      <x:c r="F11" s="45" t="n">
        <x:f>SUM(F8:F10)</x:f>
        <x:v>150</x:v>
      </x:c>
      <x:c r="G11" s="45" t="n">
        <x:f>SUM(G8:G10)</x:f>
        <x:v>150</x:v>
      </x:c>
      <x:c r="H11" s="45" t="n">
        <x:f>SUM(H8:H10)</x:f>
        <x:v>86</x:v>
      </x:c>
      <x:c r="I11" s="45" t="n">
        <x:f>SUM(I8:I10)</x:f>
        <x:v>214</x:v>
      </x:c>
    </x:row>
    <x:row r="12" ht="21.75" customHeight="1">
      <x:c r="A12" s="3"/>
      <x:c r="B12" s="3"/>
      <x:c r="C12" s="3"/>
      <x:c r="D12" s="3"/>
      <x:c r="E12" s="3"/>
      <x:c r="F12" s="3"/>
      <x:c r="G12" s="3"/>
      <x:c r="H12" s="3"/>
      <x:c r="I12" s="3"/>
    </x:row>
    <x:row r="13" ht="33" customHeight="1">
      <x:c r="A13" s="10" t="str">
        <x:v>结构类别</x:v>
      </x:c>
      <x:c r="B13" s="10" t="str">
        <x:v>独立模型数</x:v>
      </x:c>
      <x:c r="C13" s="10" t="str">
        <x:v>任务条目</x:v>
      </x:c>
      <x:c r="D13" s="10" t="str">
        <x:v>覆盖说明</x:v>
      </x:c>
      <x:c r="E13" s="3"/>
      <x:c r="F13" s="10" t="str">
        <x:v>拟定执行软件</x:v>
      </x:c>
      <x:c r="G13" s="10" t="str">
        <x:v>题数</x:v>
      </x:c>
      <x:c r="H13" s="10" t="str">
        <x:v>已知接口缺口</x:v>
      </x:c>
      <x:c r="I13" s="10" t="str">
        <x:v>待逐题验证</x:v>
      </x:c>
    </x:row>
    <x:row r="14" ht="21.75" customHeight="1">
      <x:c r="A14" s="3" t="str">
        <x:v>梁</x:v>
      </x:c>
      <x:c r="B14" s="46" t="n">
        <x:f>COUNTIFS('300个模型'!$D$2:$D$301,A14)</x:f>
        <x:v>42</x:v>
      </x:c>
      <x:c r="C14" s="46" t="n">
        <x:f>COUNTIFS('300题规划'!$E$2:$E$301,A14)</x:f>
        <x:v>42</x:v>
      </x:c>
      <x:c r="D14" s="3" t="str">
        <x:v>2D</x:v>
      </x:c>
      <x:c r="E14" s="3"/>
      <x:c r="F14" s="3" t="str">
        <x:v>OpenSees</x:v>
      </x:c>
      <x:c r="G14" s="44" t="n">
        <x:f>COUNTIFS('300题规划'!$Y$2:$Y$301,F14)</x:f>
        <x:v>267</x:v>
      </x:c>
      <x:c r="H14" s="44" t="n">
        <x:f>COUNTIFS('300题规划'!$Y$2:$Y$301,F14,'300题规划'!$AB$2:$AB$301,"存在已知接口缺口")</x:f>
        <x:v>0</x:v>
      </x:c>
      <x:c r="I14" s="44" t="n">
        <x:f>COUNTIFS('300题规划'!$Y$2:$Y$301,F14,'300题规划'!$AB$2:$AB$301,"待逐题验证")</x:f>
        <x:v>267</x:v>
      </x:c>
    </x:row>
    <x:row r="15" ht="21.75" customHeight="1">
      <x:c r="A15" s="3" t="str">
        <x:v>连续梁</x:v>
      </x:c>
      <x:c r="B15" s="46" t="n">
        <x:f>COUNTIFS('300个模型'!$D$2:$D$301,A15)</x:f>
        <x:v>36</x:v>
      </x:c>
      <x:c r="C15" s="46" t="n">
        <x:f>COUNTIFS('300题规划'!$E$2:$E$301,A15)</x:f>
        <x:v>36</x:v>
      </x:c>
      <x:c r="D15" s="3" t="str">
        <x:v>2D</x:v>
      </x:c>
      <x:c r="E15" s="3"/>
      <x:c r="F15" s="3" t="str">
        <x:v>YJK</x:v>
      </x:c>
      <x:c r="G15" s="44" t="n">
        <x:f>COUNTIFS('300题规划'!$Y$2:$Y$301,F15)</x:f>
        <x:v>17</x:v>
      </x:c>
      <x:c r="H15" s="44" t="n">
        <x:f>COUNTIFS('300题规划'!$Y$2:$Y$301,F15,'300题规划'!$AB$2:$AB$301,"存在已知接口缺口")</x:f>
        <x:v>17</x:v>
      </x:c>
      <x:c r="I15" s="44" t="n">
        <x:f>COUNTIFS('300题规划'!$Y$2:$Y$301,F15,'300题规划'!$AB$2:$AB$301,"待逐题验证")</x:f>
        <x:v>0</x:v>
      </x:c>
    </x:row>
    <x:row r="16" ht="21.75" customHeight="1">
      <x:c r="A16" s="3" t="str">
        <x:v>桁架</x:v>
      </x:c>
      <x:c r="B16" s="46" t="n">
        <x:f>COUNTIFS('300个模型'!$D$2:$D$301,A16)</x:f>
        <x:v>48</x:v>
      </x:c>
      <x:c r="C16" s="46" t="n">
        <x:f>COUNTIFS('300题规划'!$E$2:$E$301,A16)</x:f>
        <x:v>48</x:v>
      </x:c>
      <x:c r="D16" s="3" t="str">
        <x:v>含 2D / 3D</x:v>
      </x:c>
      <x:c r="E16" s="3"/>
      <x:c r="F16" s="3" t="str">
        <x:v>PKPM</x:v>
      </x:c>
      <x:c r="G16" s="44" t="n">
        <x:f>COUNTIFS('300题规划'!$Y$2:$Y$301,F16)</x:f>
        <x:v>16</x:v>
      </x:c>
      <x:c r="H16" s="44" t="n">
        <x:f>COUNTIFS('300题规划'!$Y$2:$Y$301,F16,'300题规划'!$AB$2:$AB$301,"存在已知接口缺口")</x:f>
        <x:v>16</x:v>
      </x:c>
      <x:c r="I16" s="44" t="n">
        <x:f>COUNTIFS('300题规划'!$Y$2:$Y$301,F16,'300题规划'!$AB$2:$AB$301,"待逐题验证")</x:f>
        <x:v>0</x:v>
      </x:c>
    </x:row>
    <x:row r="17" ht="21.75" customHeight="1">
      <x:c r="A17" s="3" t="str">
        <x:v>门式刚架</x:v>
      </x:c>
      <x:c r="B17" s="46" t="n">
        <x:f>COUNTIFS('300个模型'!$D$2:$D$301,A17)</x:f>
        <x:v>36</x:v>
      </x:c>
      <x:c r="C17" s="46" t="n">
        <x:f>COUNTIFS('300题规划'!$E$2:$E$301,A17)</x:f>
        <x:v>36</x:v>
      </x:c>
      <x:c r="D17" s="3" t="str">
        <x:v>2D</x:v>
      </x:c>
      <x:c r="E17" s="3"/>
      <x:c r="F17" s="37" t="str">
        <x:v>合计</x:v>
      </x:c>
      <x:c r="G17" s="48" t="n">
        <x:f>SUM(G14:G16)</x:f>
        <x:v>300</x:v>
      </x:c>
      <x:c r="H17" s="48" t="n">
        <x:f>SUM(H14:H16)</x:f>
        <x:v>33</x:v>
      </x:c>
      <x:c r="I17" s="48" t="n">
        <x:f>SUM(I14:I16)</x:f>
        <x:v>267</x:v>
      </x:c>
    </x:row>
    <x:row r="18" ht="31.5" customHeight="1">
      <x:c r="A18" s="3" t="str">
        <x:v>平面钢框架</x:v>
      </x:c>
      <x:c r="B18" s="46" t="n">
        <x:f>COUNTIFS('300个模型'!$D$2:$D$301,A18)</x:f>
        <x:v>42</x:v>
      </x:c>
      <x:c r="C18" s="46" t="n">
        <x:f>COUNTIFS('300题规划'!$E$2:$E$301,A18)</x:f>
        <x:v>42</x:v>
      </x:c>
      <x:c r="D18" s="3" t="str">
        <x:v>2D</x:v>
      </x:c>
      <x:c r="E18" s="3"/>
      <x:c r="F18" s="3" t="str">
        <x:v>按场景分配，无软件数量配额；均为拟定方案。</x:v>
      </x:c>
      <x:c r="G18" s="3"/>
      <x:c r="H18" s="3"/>
      <x:c r="I18" s="3"/>
    </x:row>
    <x:row r="19" ht="31.5" customHeight="1">
      <x:c r="A19" s="3" t="str">
        <x:v>平面混凝土框架</x:v>
      </x:c>
      <x:c r="B19" s="46" t="n">
        <x:f>COUNTIFS('300个模型'!$D$2:$D$301,A19)</x:f>
        <x:v>30</x:v>
      </x:c>
      <x:c r="C19" s="46" t="n">
        <x:f>COUNTIFS('300题规划'!$E$2:$E$301,A19)</x:f>
        <x:v>30</x:v>
      </x:c>
      <x:c r="D19" s="3" t="str">
        <x:v>2D</x:v>
      </x:c>
      <x:c r="E19" s="3"/>
      <x:c r="F19" s="3" t="str">
        <x:v>「300题规划」X–AF 列新增软件、接口与执行证据。</x:v>
      </x:c>
      <x:c r="G19" s="3"/>
      <x:c r="H19" s="3"/>
      <x:c r="I19" s="3"/>
    </x:row>
    <x:row r="20" ht="31.5" customHeight="1">
      <x:c r="A20" s="3" t="str">
        <x:v>空间框架</x:v>
      </x:c>
      <x:c r="B20" s="46" t="n">
        <x:f>COUNTIFS('300个模型'!$D$2:$D$301,A20)</x:f>
        <x:v>48</x:v>
      </x:c>
      <x:c r="C20" s="46" t="n">
        <x:f>COUNTIFS('300题规划'!$E$2:$E$301,A20)</x:f>
        <x:v>48</x:v>
      </x:c>
      <x:c r="D20" s="3" t="str">
        <x:v>3D</x:v>
      </x:c>
      <x:c r="E20" s="3"/>
      <x:c r="F20" s="3" t="str">
        <x:v>标答来源见 U 列；模型表 P/Q 列同步软件与状态。</x:v>
      </x:c>
      <x:c r="G20" s="3"/>
      <x:c r="H20" s="3"/>
      <x:c r="I20" s="3"/>
    </x:row>
    <x:row r="21" ht="31.5" customHeight="1">
      <x:c r="A21" s="3" t="str">
        <x:v>柱</x:v>
      </x:c>
      <x:c r="B21" s="46" t="n">
        <x:f>COUNTIFS('300个模型'!$D$2:$D$301,A21)</x:f>
        <x:v>18</x:v>
      </x:c>
      <x:c r="C21" s="46" t="n">
        <x:f>COUNTIFS('300题规划'!$E$2:$E$301,A21)</x:f>
        <x:v>18</x:v>
      </x:c>
      <x:c r="D21" s="3" t="str">
        <x:v>含 2D / 3D</x:v>
      </x:c>
      <x:c r="E21" s="3"/>
      <x:c r="F21" s="3" t="str">
        <x:v>当前未逐题运行；已知缺口不等于软件本身不支持。</x:v>
      </x:c>
      <x:c r="G21" s="3"/>
      <x:c r="H21" s="3"/>
      <x:c r="I21" s="3"/>
    </x:row>
    <x:row r="22" ht="21.75" customHeight="1">
      <x:c r="A22" s="3"/>
      <x:c r="B22" s="3"/>
      <x:c r="C22" s="3"/>
      <x:c r="D22" s="3"/>
      <x:c r="E22" s="3"/>
      <x:c r="F22" s="3"/>
      <x:c r="G22" s="3"/>
      <x:c r="H22" s="3"/>
      <x:c r="I22" s="3"/>
    </x:row>
    <x:row r="23" ht="21.75" customHeight="1">
      <x:c r="A23" s="10" t="str">
        <x:v>统一口径 · 用于后续编题与验收</x:v>
      </x:c>
      <x:c r="B23" s="10"/>
      <x:c r="C23" s="10"/>
      <x:c r="D23" s="10"/>
      <x:c r="E23" s="10"/>
      <x:c r="F23" s="10"/>
      <x:c r="G23" s="10"/>
      <x:c r="H23" s="10"/>
      <x:c r="I23" s="10"/>
    </x:row>
    <x:row r="24" ht="42" customHeight="1">
      <x:c r="A24" s="50" t="str">
        <x:v>核心问题</x:v>
      </x:c>
      <x:c r="B24" s="50"/>
      <x:c r="C24" s="50"/>
      <x:c r="D24" s="51" t="str">
        <x:v>给定用户工程输入，能否建立正确计算模型、完成正确分析，并准确展示用户关心的关键结果。沿用论文三类任务，不额外建立另一套平行能力分类。</x:v>
      </x:c>
      <x:c r="E24" s="51"/>
      <x:c r="F24" s="51"/>
      <x:c r="G24" s="51"/>
      <x:c r="H24" s="51"/>
      <x:c r="I24" s="51"/>
    </x:row>
    <x:row r="25" ht="42" customHeight="1">
      <x:c r="A25" s="49" t="str">
        <x:v>标准工作流</x:v>
      </x:c>
      <x:c r="B25" s="49"/>
      <x:c r="C25" s="49"/>
      <x:c r="D25" s="3" t="str">
        <x:v>完整文字/参数表 → 建模 → 静力分析 → 关键量摘要。主要考察结构、支座、材料截面、荷载与坐标的正确映射。</x:v>
      </x:c>
      <x:c r="E25" s="3"/>
      <x:c r="F25" s="3"/>
      <x:c r="G25" s="3"/>
      <x:c r="H25" s="3"/>
      <x:c r="I25" s="3"/>
    </x:row>
    <x:row r="26" ht="42" customHeight="1">
      <x:c r="A26" s="50" t="str">
        <x:v>交互鲁棒性</x:v>
      </x:c>
      <x:c r="B26" s="50"/>
      <x:c r="C26" s="50"/>
      <x:c r="D26" s="51" t="str">
        <x:v>补齐必要信息、消除矛盾或修改已建模型。逐轮检查改动目标、未改字段和最终结果；合法负坐标/反向荷载不是拒绝理由。</x:v>
      </x:c>
      <x:c r="E26" s="51"/>
      <x:c r="F26" s="51"/>
      <x:c r="G26" s="51"/>
      <x:c r="H26" s="51"/>
      <x:c r="I26" s="51"/>
    </x:row>
    <x:row r="27" ht="42" customHeight="1">
      <x:c r="A27" s="49" t="str">
        <x:v>多模态逆向建模</x:v>
      </x:c>
      <x:c r="B27" s="49"/>
      <x:c r="C27" s="49"/>
      <x:c r="D27" s="3" t="str">
        <x:v>从图、DXF及属性表重建计算模型；明确每个输入载体提供什么。关键几何不能全部复制到文字里，避免绕过视觉任务。</x:v>
      </x:c>
      <x:c r="E27" s="3"/>
      <x:c r="F27" s="3"/>
      <x:c r="G27" s="3"/>
      <x:c r="H27" s="3"/>
      <x:c r="I27" s="3"/>
    </x:row>
    <x:row r="28" ht="42" customHeight="1">
      <x:c r="A28" s="50" t="str">
        <x:v>一题一个独立模型</x:v>
      </x:c>
      <x:c r="B28" s="50"/>
      <x:c r="C28" s="50"/>
      <x:c r="D28" s="51" t="str">
        <x:v>STD/INT/MM 每题有专属 M-编号、完整模型规格和独立标答。三类不共享同一个计算模型；交互题的多轮快照属于同一道题，不另外凑题数。</x:v>
      </x:c>
      <x:c r="E28" s="51"/>
      <x:c r="F28" s="51"/>
      <x:c r="G28" s="51"/>
      <x:c r="H28" s="51"/>
      <x:c r="I28" s="51"/>
    </x:row>
    <x:row r="29" ht="39" customHeight="1">
      <x:c r="A29" s="49" t="str">
        <x:v>L1：清晰的基本映射</x:v>
      </x:c>
      <x:c r="B29" s="49"/>
      <x:c r="C29" s="49"/>
      <x:c r="D29" s="3" t="str">
        <x:v>信息直接、边界清楚、单一主要荷载/属性映射，或非常直接的单步交互。L1 是校准锚点，并非无意义简单题。</x:v>
      </x:c>
      <x:c r="E29" s="3"/>
      <x:c r="F29" s="3"/>
      <x:c r="G29" s="3"/>
      <x:c r="H29" s="3"/>
      <x:c r="I29" s="3"/>
    </x:row>
    <x:row r="30" ht="42" customHeight="1">
      <x:c r="A30" s="50" t="str">
        <x:v>L2：单项非直接映射</x:v>
      </x:c>
      <x:c r="B30" s="50"/>
      <x:c r="C30" s="50"/>
      <x:c r="D30" s="51" t="str">
        <x:v>需要分段、坐标/单位换算、分组属性、非均匀荷载或一次关键澄清；主要难点可分开解决。逐题依据见 H/I 列。</x:v>
      </x:c>
      <x:c r="E30" s="51"/>
      <x:c r="F30" s="51"/>
      <x:c r="G30" s="51"/>
      <x:c r="H30" s="51"/>
      <x:c r="I30" s="51"/>
    </x:row>
    <x:row r="31" ht="42" customHeight="1">
      <x:c r="A31" s="49" t="str">
        <x:v>L3：多项约束联合处理</x:v>
      </x:c>
      <x:c r="B31" s="49"/>
      <x:c r="C31" s="49"/>
      <x:c r="D31" s="3" t="str">
        <x:v>多种映射互相影响，例如不规则拓扑+属性/荷载分区、跨视图合并、多轮相依修改。规模、3D、英文都不单独决定 L3。</x:v>
      </x:c>
      <x:c r="E31" s="3"/>
      <x:c r="F31" s="3"/>
      <x:c r="G31" s="3"/>
      <x:c r="H31" s="3"/>
      <x:c r="I31" s="3"/>
    </x:row>
    <x:row r="32" ht="42" customHeight="1">
      <x:c r="A32" s="50" t="str">
        <x:v>难度与语言</x:v>
      </x:c>
      <x:c r="B32" s="50"/>
      <x:c r="C32" s="50"/>
      <x:c r="D32" s="51" t="str">
        <x:v>每类各 50 中文、50 英文；表内中文是规划说明，题面及图中文字按语言列编制。同一结构的翻译不算新增结构。难度为逐题预设，未用试跑成功率校准，不强凑配额。</x:v>
      </x:c>
      <x:c r="E32" s="51"/>
      <x:c r="F32" s="51"/>
      <x:c r="G32" s="51"/>
      <x:c r="H32" s="51"/>
      <x:c r="I32" s="51"/>
    </x:row>
    <x:row r="33" ht="42" customHeight="1">
      <x:c r="A33" s="49" t="str">
        <x:v>题目来源定义</x:v>
      </x:c>
      <x:c r="B33" s="49"/>
      <x:c r="C33" s="49"/>
      <x:c r="D33" s="3" t="str">
        <x:v>“旧题改编”复用指定旧题的场景/交互/图样；“新增”没有直接旧题题面来源。模型设计来源另列，不混作题面来源。同源改编也必须实质不同、独立建模及验证。</x:v>
      </x:c>
      <x:c r="E33" s="3"/>
      <x:c r="F33" s="3"/>
      <x:c r="G33" s="3"/>
      <x:c r="H33" s="3"/>
      <x:c r="I33" s="3"/>
    </x:row>
    <x:row r="34" ht="42" customHeight="1">
      <x:c r="A34" s="50" t="str">
        <x:v>分析边界与引擎</x:v>
      </x:c>
      <x:c r="B34" s="50"/>
      <x:c r="C34" s="50"/>
      <x:c r="D34" s="51" t="str">
        <x:v>本轮保持杆系一阶线弹性静力及300个独立模型。先按场景分配：一般杆系/力学机制题主要OpenSees，建筑空间框架安排YJK或PKPM；不预设180/60/60等软件数量配额。</x:v>
      </x:c>
      <x:c r="E34" s="51"/>
      <x:c r="F34" s="51"/>
      <x:c r="G34" s="51"/>
      <x:c r="H34" s="51"/>
      <x:c r="I34" s="51"/>
    </x:row>
    <x:row r="35" ht="42" customHeight="1">
      <x:c r="A35" s="49" t="str">
        <x:v>单位及坐标</x:v>
      </x:c>
      <x:c r="B35" s="49"/>
      <x:c r="C35" s="49"/>
      <x:c r="D35" s="3" t="str">
        <x:v>每个字段写单位：如 E/G 用 MPa 或 Pa 明示、A 用 m²、I/J 用 m⁴、截面尺寸用 mm 明示；落地计算统一转换。默认全局 Z 向上、2D 为 XZ，例外给完整映射。</x:v>
      </x:c>
      <x:c r="E35" s="3"/>
      <x:c r="F35" s="3"/>
      <x:c r="G35" s="3"/>
      <x:c r="H35" s="3"/>
      <x:c r="I35" s="3"/>
    </x:row>
    <x:row r="36" ht="42" customHeight="1">
      <x:c r="A36" s="50" t="str">
        <x:v>荷载与自重</x:v>
      </x:c>
      <x:c r="B36" s="50"/>
      <x:c r="C36" s="50"/>
      <x:c r="D36" s="51" t="str">
        <x:v>保留原题物理契约：关闭自动自重，只施加题设荷载。商业软件须显式配置并检查实际计算模型；当前接口若不能保留，记录缺口，不默许软件默认值改写题目。旧数值不能直接复用。</x:v>
      </x:c>
      <x:c r="E36" s="51"/>
      <x:c r="F36" s="51"/>
      <x:c r="G36" s="51"/>
      <x:c r="H36" s="51"/>
      <x:c r="I36" s="51"/>
    </x:row>
    <x:row r="37" ht="42" customHeight="1">
      <x:c r="A37" s="49" t="str">
        <x:v>空间楼面荷载约定</x:v>
      </x:c>
      <x:c r="B37" s="49"/>
      <x:c r="C37" s="49"/>
      <x:c r="D37" s="3" t="str">
        <x:v>每题独立给出荷载分配方式。采用单向分配时明确受荷梁、相邻半跨受荷宽度及边中梁区别，其他梁不重复加载；不默认刚性楼板。局部或非规则荷载按本题表执行。</x:v>
      </x:c>
      <x:c r="E37" s="3"/>
      <x:c r="F37" s="3"/>
      <x:c r="G37" s="3"/>
      <x:c r="H37" s="3"/>
      <x:c r="I37" s="3"/>
    </x:row>
    <x:row r="38" ht="42" customHeight="1">
      <x:c r="A38" s="50" t="str">
        <x:v>输入完整性</x:v>
      </x:c>
      <x:c r="B38" s="50"/>
      <x:c r="C38" s="50"/>
      <x:c r="D38" s="51" t="str">
        <x:v>除题目刻意暂缺的字段外，提供完整材料/截面、边界自由度、连接表、荷载、工况和组合。当前表是编题骨架，未列全的数值附录须在正式出题时补齐。</x:v>
      </x:c>
      <x:c r="E38" s="51"/>
      <x:c r="F38" s="51"/>
      <x:c r="G38" s="51"/>
      <x:c r="H38" s="51"/>
      <x:c r="I38" s="51"/>
    </x:row>
    <x:row r="39" ht="42" customHeight="1">
      <x:c r="A39" s="49" t="str">
        <x:v>建模评分</x:v>
      </x:c>
      <x:c r="B39" s="49"/>
      <x:c r="C39" s="49"/>
      <x:c r="D39" s="3" t="str">
        <x:v>同时核对统一模型及真正进入求解器的模型：几何、连接、约束、材料截面/局部轴和荷载工况。允许等价网格与编号；不要求特定内部skill名称，但题目指定的软件必须真实执行。</x:v>
      </x:c>
      <x:c r="E39" s="3"/>
      <x:c r="F39" s="3"/>
      <x:c r="G39" s="3"/>
      <x:c r="H39" s="3"/>
      <x:c r="I39" s="3"/>
    </x:row>
    <x:row r="40" ht="42" customHeight="1">
      <x:c r="A40" s="50" t="str">
        <x:v>澄清题的公平性</x:v>
      </x:c>
      <x:c r="B40" s="50"/>
      <x:c r="C40" s="50"/>
      <x:c r="D40" s="51" t="str">
        <x:v>刻意缺项时检查剩余图、表、单位关系是否已经足够推导。若信息足够，允许说明依据后正确计算；不把“必须先追问”写成唯一通关路径。互相矛盾的信息另设明确确认步骤。</x:v>
      </x:c>
      <x:c r="E40" s="51"/>
      <x:c r="F40" s="51"/>
      <x:c r="G40" s="51"/>
      <x:c r="H40" s="51"/>
      <x:c r="I40" s="51"/>
    </x:row>
    <x:row r="41" ht="42" customHeight="1">
      <x:c r="A41" s="49" t="str">
        <x:v>计算与结果评分</x:v>
      </x:c>
      <x:c r="B41" s="49"/>
      <x:c r="C41" s="49"/>
      <x:c r="D41" s="3" t="str">
        <x:v>分别报告建模正确、指定软件真实执行、目标结果正确及解释一致，再报告全部满足的端到端成功率。逐量检查单位、方向、构件/位置和工况；文字或格式分不能抵消未完成计算。</x:v>
      </x:c>
      <x:c r="E41" s="3"/>
      <x:c r="F41" s="3"/>
      <x:c r="G41" s="3"/>
      <x:c r="H41" s="3"/>
      <x:c r="I41" s="3"/>
    </x:row>
    <x:row r="42" ht="42" customHeight="1">
      <x:c r="A42" s="50" t="str">
        <x:v>标答与容差</x:v>
      </x:c>
      <x:c r="B42" s="50"/>
      <x:c r="C42" s="50"/>
      <x:c r="D42" s="51" t="str">
        <x:v>以人工审定的同软件模型、冻结版本/设置和参考结果为主，辅以解析、独立刚度法、平衡或跨软件校核。独立审查原生输入，防止共用转换器的错误相互印证；按响应设绝对与相对容差。</x:v>
      </x:c>
      <x:c r="E42" s="51"/>
      <x:c r="F42" s="51"/>
      <x:c r="G42" s="51"/>
      <x:c r="H42" s="51"/>
      <x:c r="I42" s="51"/>
    </x:row>
    <x:row r="43" ht="42" customHeight="1">
      <x:c r="A43" s="49" t="str">
        <x:v>单元内部响应</x:v>
      </x:c>
      <x:c r="B43" s="49"/>
      <x:c r="C43" s="49"/>
      <x:c r="D43" s="3" t="str">
        <x:v>跨中挠度等必须有连接观测节点或明确的验证过的恢复规则。桁架输出轴力；梁柱可输出节点位移、端力和已验证的截面响应，不用端点连线冒充真实挠曲线。</x:v>
      </x:c>
      <x:c r="E43" s="3"/>
      <x:c r="F43" s="3"/>
      <x:c r="G43" s="3"/>
      <x:c r="H43" s="3"/>
      <x:c r="I43" s="3"/>
    </x:row>
    <x:row r="44" ht="42" customHeight="1">
      <x:c r="A44" s="50" t="str">
        <x:v>多轮与多模态真值</x:v>
      </x:c>
      <x:c r="B44" s="50"/>
      <x:c r="C44" s="50"/>
      <x:c r="D44" s="51" t="str">
        <x:v>交互各轮有状态快照/目标及不变量，最终状态重新求解。先冻结本题模型再制作图样并人工回读；隐藏图层/文件名不得泄漏答案，缺失信息须有确定的后续回复。</x:v>
      </x:c>
      <x:c r="E44" s="51"/>
      <x:c r="F44" s="51"/>
      <x:c r="G44" s="51"/>
      <x:c r="H44" s="51"/>
      <x:c r="I44" s="51"/>
    </x:row>
    <x:row r="45" ht="42" customHeight="1">
      <x:c r="A45" s="49" t="str">
        <x:v>覆盖的实际含义</x:v>
      </x:c>
      <x:c r="B45" s="49"/>
      <x:c r="C45" s="49"/>
      <x:c r="D45" s="3" t="str">
        <x:v>八类结构的具体数量见上表；2D与3D均有覆盖。以边界、连接、属性和荷载映射差异提升多样性，本轮不纳入板壳、接触、非线性时程或规范设计验算。</x:v>
      </x:c>
      <x:c r="E45" s="3"/>
      <x:c r="F45" s="3"/>
      <x:c r="G45" s="3"/>
      <x:c r="H45" s="3"/>
      <x:c r="I45" s="3"/>
    </x:row>
    <x:row r="46" ht="42" customHeight="1">
      <x:c r="A46" s="50" t="str">
        <x:v>独立与多样性的区别</x:v>
      </x:c>
      <x:c r="B46" s="50"/>
      <x:c r="C46" s="50"/>
      <x:c r="D46" s="51" t="str">
        <x:v>独立模型不等于300种结构体系。每题在连接、边界、加载或属性映射上写明实质差异；相近拓扑仍按结构谱系汇总，并在开发/测试划分时避免近重复泄漏。</x:v>
      </x:c>
      <x:c r="E46" s="51"/>
      <x:c r="F46" s="51"/>
      <x:c r="G46" s="51"/>
      <x:c r="H46" s="51"/>
      <x:c r="I46" s="51"/>
    </x:row>
    <x:row r="47" ht="42" customHeight="1">
      <x:c r="A47" s="49" t="str">
        <x:v>三类分数如何比较</x:v>
      </x:c>
      <x:c r="B47" s="49"/>
      <x:c r="C47" s="49"/>
      <x:c r="D47" s="3" t="str">
        <x:v>先分别报告各类在难度/结构上的分层结果，再做总体汇总。三类模型彼此独立，因此跨类分数差不直接解释为“只改变输入模态”的因果效果。</x:v>
      </x:c>
      <x:c r="E47" s="3"/>
      <x:c r="F47" s="3"/>
      <x:c r="G47" s="3"/>
      <x:c r="H47" s="3"/>
      <x:c r="I47" s="3"/>
    </x:row>
    <x:row r="48" ht="42" customHeight="1">
      <x:c r="A48" s="50" t="str">
        <x:v>发布前必须满足</x:v>
      </x:c>
      <x:c r="B48" s="50"/>
      <x:c r="C48" s="50"/>
      <x:c r="D48" s="51" t="str">
        <x:v>目标明确、目标软件可完成、独立标答可核验、附件可回读。入库不以StructureClaw能否通过为条件；任务有效但适配器不支持计系统能力缺口。环境/许可证异常单列，不静默删除失败题。</x:v>
      </x:c>
      <x:c r="E48" s="51"/>
      <x:c r="F48" s="51"/>
      <x:c r="G48" s="51"/>
      <x:c r="H48" s="51"/>
      <x:c r="I48" s="51"/>
    </x:row>
    <x:row r="49" ht="42" customHeight="1">
      <x:c r="A49" s="49" t="str">
        <x:v>建议实施顺序</x:v>
      </x:c>
      <x:c r="B49" s="49"/>
      <x:c r="C49" s="49"/>
      <x:c r="D49" s="3" t="str">
        <x:v>先按场景审定软件及原生标答，再用代表题核验输入、计算、结果读取链路并补必要接口。保留题意与输出要求；预试完成后校准难度、冻结版本和计分规则。</x:v>
      </x:c>
      <x:c r="E49" s="3"/>
      <x:c r="F49" s="3"/>
      <x:c r="G49" s="3"/>
      <x:c r="H49" s="3"/>
      <x:c r="I49" s="3"/>
    </x:row>
    <x:row r="50" ht="42" customHeight="1">
      <x:c r="A50" s="50" t="str">
        <x:v>软件定位与接入状态</x:v>
      </x:c>
      <x:c r="B50" s="50"/>
      <x:c r="C50" s="50"/>
      <x:c r="D50" s="51" t="str">
        <x:v>适用软件列表示工程适配性；接入状态是静态代码核对后的规划判断。“待逐题验证”不等于已运行成功；“存在已知接口缺口”也不是软件本体不支持。</x:v>
      </x:c>
      <x:c r="E50" s="51"/>
      <x:c r="F50" s="51"/>
      <x:c r="G50" s="51"/>
      <x:c r="H50" s="51"/>
      <x:c r="I50" s="51"/>
    </x:row>
    <x:row r="51" ht="42" customHeight="1">
      <x:c r="A51" s="49" t="str">
        <x:v>商业软件执行证据</x:v>
      </x:c>
      <x:c r="B51" s="49"/>
      <x:c r="C51" s="49"/>
      <x:c r="D51" s="3" t="str">
        <x:v>指定YJK/PKPM题需本次原生工程、计算设置、软件版本、运行记录和原始结果，并与当前模型绑定。OpenSees替算或仅返回引擎名称不能算通过；反力等缺失结果要补提取，不静默取消题目要求。</x:v>
      </x:c>
      <x:c r="E51" s="3"/>
      <x:c r="F51" s="3"/>
      <x:c r="G51" s="3"/>
      <x:c r="H51" s="3"/>
      <x:c r="I51" s="3"/>
    </x:row>
    <x:row r="52" ht="42" customHeight="1">
      <x:c r="A52" s="50" t="str">
        <x:v>剪力墙与框剪</x:v>
      </x:c>
      <x:c r="B52" s="50"/>
      <x:c r="C52" s="50"/>
      <x:c r="D52" s="51" t="str">
        <x:v>保留为未来可选扩展，不计入本次300题；引入时须另做墙体/洞口/连梁/楼板表达、连接、原生计算、结果映射及标答验证，不能只更换软件标签。</x:v>
      </x:c>
      <x:c r="E52" s="51"/>
      <x:c r="F52" s="51"/>
      <x:c r="G52" s="51"/>
      <x:c r="H52" s="51"/>
      <x:c r="I52" s="51"/>
    </x:row>
    <x:row r="53" ht="42" customHeight="1">
      <x:c r="A53" s="49" t="str">
        <x:v>如何阅读与修改</x:v>
      </x:c>
      <x:c r="B53" s="49"/>
      <x:c r="C53" s="49"/>
      <x:c r="D53" s="3" t="str">
        <x:v>在300题规划按结构/难度/拟定软件筛选；X–AF为新增软件字段，U为同软件标答计划。模型表P/Q按题ID引用，旧题表N保留原配置引擎。修改软件时需同步审定标答、接口与执行要求。</x:v>
      </x:c>
      <x:c r="E53" s="3"/>
      <x:c r="F53" s="3"/>
      <x:c r="G53" s="3"/>
      <x:c r="H53" s="3"/>
      <x:c r="I53" s="3"/>
    </x:row>
    <x:row r="54" ht="42" customHeight="1">
      <x:c r="A54" s="50" t="str">
        <x:v>本文件的状态</x:v>
      </x:c>
      <x:c r="B54" s="50"/>
      <x:c r="C54" s="50"/>
      <x:c r="D54" s="51" t="str">
        <x:v>这里只整理逐题规划与溯源，不运行任何收费模型实验，不更新原题库/主程序。现有150题源文件已只读核对；所有规划题仍待编题、素材制作和标答验证。</x:v>
      </x:c>
      <x:c r="E54" s="51"/>
      <x:c r="F54" s="51"/>
      <x:c r="G54" s="51"/>
      <x:c r="H54" s="51"/>
      <x:c r="I54" s="51"/>
    </x:row>
    <x:row r="55" ht="56.25" customHeight="1">
      <x:c r="A55" s="49" t="str">
        <x:v>来源位置</x:v>
      </x:c>
      <x:c r="B55" s="49"/>
      <x:c r="C55" s="49"/>
      <x:c r="D55" s="3" t="str">
        <x:v>G:/StructureClaw-All/structureclaw/tests/llm-benchmark；历史逐题审阅：G:/StructureClaw-All/bench-review-20261012/case-review.json</x:v>
      </x:c>
      <x:c r="E55" s="3"/>
      <x:c r="F55" s="3"/>
      <x:c r="G55" s="3"/>
      <x:c r="H55" s="3"/>
      <x:c r="I55" s="3"/>
    </x:row>
    <x:row r="56" ht="21.75" customHeight="1">
      <x:c r="A56" s="3"/>
      <x:c r="B56" s="3"/>
      <x:c r="C56" s="3"/>
      <x:c r="D56" s="3"/>
      <x:c r="E56" s="3"/>
      <x:c r="F56" s="3"/>
      <x:c r="G56" s="3"/>
      <x:c r="H56" s="3"/>
      <x:c r="I56" s="3"/>
    </x:row>
    <x:row r="57" ht="21.75" customHeight="1">
      <x:c r="A57" s="3"/>
      <x:c r="B57" s="3"/>
      <x:c r="C57" s="3"/>
      <x:c r="D57" s="3"/>
      <x:c r="E57" s="3"/>
      <x:c r="F57" s="3"/>
      <x:c r="G57" s="3"/>
      <x:c r="H57" s="3"/>
      <x:c r="I57" s="3"/>
    </x:row>
    <x:row r="58" ht="21.75" customHeight="1">
      <x:c r="A58" s="10" t="str">
        <x:v>任务大类</x:v>
      </x:c>
      <x:c r="B58" s="10" t="str">
        <x:v>OpenSees</x:v>
      </x:c>
      <x:c r="C58" s="10" t="str">
        <x:v>YJK</x:v>
      </x:c>
      <x:c r="D58" s="10" t="str">
        <x:v>PKPM</x:v>
      </x:c>
      <x:c r="E58" s="10" t="str">
        <x:v>合计</x:v>
      </x:c>
      <x:c r="F58" s="3"/>
      <x:c r="G58" s="3"/>
      <x:c r="H58" s="3"/>
      <x:c r="I58" s="3"/>
    </x:row>
    <x:row r="59" ht="21.75" customHeight="1">
      <x:c r="A59" s="3" t="str">
        <x:v>标准工作流</x:v>
      </x:c>
      <x:c r="B59" s="3" t="n">
        <x:f>COUNTIFS('300题规划'!$B$2:$B$301,A59,'300题规划'!$Y$2:$Y$301,"OpenSees")</x:f>
        <x:v>89</x:v>
      </x:c>
      <x:c r="C59" s="3" t="n">
        <x:f>COUNTIFS('300题规划'!$B$2:$B$301,A59,'300题规划'!$Y$2:$Y$301,"YJK")</x:f>
        <x:v>5</x:v>
      </x:c>
      <x:c r="D59" s="3" t="n">
        <x:f>COUNTIFS('300题规划'!$B$2:$B$301,A59,'300题规划'!$Y$2:$Y$301,"PKPM")</x:f>
        <x:v>6</x:v>
      </x:c>
      <x:c r="E59" s="3" t="n">
        <x:f>SUM(B59:D59)</x:f>
        <x:v>100</x:v>
      </x:c>
      <x:c r="F59" s="3"/>
      <x:c r="G59" s="3"/>
      <x:c r="H59" s="3"/>
      <x:c r="I59" s="3"/>
    </x:row>
    <x:row r="60" ht="21.75" customHeight="1">
      <x:c r="A60" s="3" t="str">
        <x:v>交互鲁棒性</x:v>
      </x:c>
      <x:c r="B60" s="3" t="n">
        <x:f>COUNTIFS('300题规划'!$B$2:$B$301,A60,'300题规划'!$Y$2:$Y$301,"OpenSees")</x:f>
        <x:v>89</x:v>
      </x:c>
      <x:c r="C60" s="3" t="n">
        <x:f>COUNTIFS('300题规划'!$B$2:$B$301,A60,'300题规划'!$Y$2:$Y$301,"YJK")</x:f>
        <x:v>5</x:v>
      </x:c>
      <x:c r="D60" s="3" t="n">
        <x:f>COUNTIFS('300题规划'!$B$2:$B$301,A60,'300题规划'!$Y$2:$Y$301,"PKPM")</x:f>
        <x:v>6</x:v>
      </x:c>
      <x:c r="E60" s="3" t="n">
        <x:f>SUM(B60:D60)</x:f>
        <x:v>100</x:v>
      </x:c>
      <x:c r="F60" s="3"/>
      <x:c r="G60" s="3"/>
      <x:c r="H60" s="3"/>
      <x:c r="I60" s="3"/>
    </x:row>
    <x:row r="61" ht="21.75" customHeight="1">
      <x:c r="A61" s="3" t="str">
        <x:v>多模态逆向建模</x:v>
      </x:c>
      <x:c r="B61" s="3" t="n">
        <x:f>COUNTIFS('300题规划'!$B$2:$B$301,A61,'300题规划'!$Y$2:$Y$301,"OpenSees")</x:f>
        <x:v>89</x:v>
      </x:c>
      <x:c r="C61" s="3" t="n">
        <x:f>COUNTIFS('300题规划'!$B$2:$B$301,A61,'300题规划'!$Y$2:$Y$301,"YJK")</x:f>
        <x:v>7</x:v>
      </x:c>
      <x:c r="D61" s="3" t="n">
        <x:f>COUNTIFS('300题规划'!$B$2:$B$301,A61,'300题规划'!$Y$2:$Y$301,"PKPM")</x:f>
        <x:v>4</x:v>
      </x:c>
      <x:c r="E61" s="3" t="n">
        <x:f>SUM(B61:D61)</x:f>
        <x:v>100</x:v>
      </x:c>
      <x:c r="F61" s="3"/>
      <x:c r="G61" s="3"/>
      <x:c r="H61" s="3"/>
      <x:c r="I61" s="3"/>
    </x:row>
    <x:row r="62" ht="21.75" customHeight="1">
      <x:c r="A62" s="3"/>
      <x:c r="B62" s="3"/>
      <x:c r="C62" s="3"/>
      <x:c r="D62" s="3"/>
      <x:c r="E62" s="3"/>
      <x:c r="F62" s="3"/>
      <x:c r="G62" s="3"/>
      <x:c r="H62" s="3"/>
      <x:c r="I62" s="3"/>
    </x:row>
    <x:row r="63" ht="21.75" customHeight="1">
      <x:c r="A63" s="3"/>
      <x:c r="B63" s="3"/>
      <x:c r="C63" s="3"/>
      <x:c r="D63" s="3"/>
      <x:c r="E63" s="3"/>
      <x:c r="F63" s="3"/>
      <x:c r="G63" s="3"/>
      <x:c r="H63" s="3"/>
      <x:c r="I63" s="3"/>
    </x:row>
    <x:row r="64" ht="21.75" customHeight="1">
      <x:c r="A64" s="10" t="str">
        <x:v>能力判断依据 · 本地路径相对 G:/StructureClaw-All/structureclaw/</x:v>
      </x:c>
      <x:c r="B64" s="10"/>
      <x:c r="C64" s="10"/>
      <x:c r="D64" s="10"/>
      <x:c r="E64" s="10"/>
      <x:c r="F64" s="10"/>
      <x:c r="G64" s="10"/>
      <x:c r="H64" s="10"/>
      <x:c r="I64" s="10"/>
    </x:row>
    <x:row r="65" ht="70.5" customHeight="1">
      <x:c r="A65" s="51" t="str">
        <x:v>COMMON</x:v>
      </x:c>
      <x:c r="B65" s="51"/>
      <x:c r="C65" s="51"/>
      <x:c r="D65" s="51" t="str">
        <x:v>代码静态审阅与本题物理规格；状态非真机验收。指定引擎评分：tests/llm-benchmark/lib/evaluate.cjs:242、1135；同软件真值：lib/engine-ground-truth.cjs；跨软件口径：fixtures/cross-engine-ground-truth-cases.json。</x:v>
      </x:c>
      <x:c r="E65" s="51"/>
      <x:c r="F65" s="51"/>
      <x:c r="G65" s="51"/>
      <x:c r="H65" s="51"/>
      <x:c r="I65" s="51"/>
    </x:row>
    <x:row r="66" ht="56.25" customHeight="1">
      <x:c r="A66" s="3" t="str">
        <x:v>OPS</x:v>
      </x:c>
      <x:c r="B66" s="3"/>
      <x:c r="C66" s="3"/>
      <x:c r="D66" s="3" t="str">
        <x:v>本地：backend/src/agent-skills/analysis/opensees-static/opensees_runtime.py、opensees_static_analysis.py。通用杆系路径存在，特殊释放、偏心、沉降、局部轴、组合与混合单元须逐题验证；不推断已覆盖所有模型。</x:v>
      </x:c>
      <x:c r="E66" s="3"/>
      <x:c r="F66" s="3"/>
      <x:c r="G66" s="3"/>
      <x:c r="H66" s="3"/>
      <x:c r="I66" s="3"/>
    </x:row>
    <x:row r="67" ht="56.25" customHeight="1">
      <x:c r="A67" s="51" t="str">
        <x:v>YJK</x:v>
      </x:c>
      <x:c r="B67" s="51"/>
      <x:c r="C67" s="51"/>
      <x:c r="D67" s="51" t="str">
        <x:v>本地：backend/src/agent-skills/analysis/yjk-static/runtime.py:611、701、750、838、843、848。现有楼面恒活载/完整三维网格/全相邻梁柱/固定柱脚/梁柱各单一截面材料限制；驱动见yjk_driver.py:477。</x:v>
      </x:c>
      <x:c r="E67" s="51"/>
      <x:c r="F67" s="51"/>
      <x:c r="G67" s="51"/>
      <x:c r="H67" s="51"/>
      <x:c r="I67" s="51"/>
    </x:row>
    <x:row r="68" ht="56.25" customHeight="1">
      <x:c r="A68" s="3" t="str">
        <x:v>PKPM</x:v>
      </x:c>
      <x:c r="B68" s="3"/>
      <x:c r="C68" s="3"/>
      <x:c r="D68" s="3" t="str">
        <x:v>本地：backend/src/agent-skills/analysis/pkpm-static/pkpm_converter.py:349、439、483、546；runtime.py:1038、1055。现有标准层复制和荷载映射限制；当前节点反力未提供。</x:v>
      </x:c>
      <x:c r="E68" s="3"/>
      <x:c r="F68" s="3"/>
      <x:c r="G68" s="3"/>
      <x:c r="H68" s="3"/>
      <x:c r="I68" s="3"/>
    </x:row>
    <x:row r="69" ht="56.25" customHeight="1">
      <x:c r="A69" s="51" t="str">
        <x:v>软件定位</x:v>
      </x:c>
      <x:c r="B69" s="51"/>
      <x:c r="C69" s="51"/>
      <x:c r="D69" s="51" t="str">
        <x:v>YJK-A：https://www.yjk.cn/article/36/；PKPM SATWE/PMSAP模块说明：https://help.pkpm.cn/admin/ms/detail?SiteID=123&amp;id=4704。仅用于产品定位，不作为本机接口可用或逐题执行成功的证据。</x:v>
      </x:c>
      <x:c r="E69" s="51"/>
      <x:c r="F69" s="51"/>
      <x:c r="G69" s="51"/>
      <x:c r="H69" s="51"/>
      <x:c r="I69" s="51"/>
    </x:row>
    <x:row r="70" ht="21.75" customHeight="1">
      <x:c r="A70" s="3"/>
      <x:c r="B70" s="3"/>
      <x:c r="C70" s="3"/>
      <x:c r="D70" s="3"/>
      <x:c r="E70" s="3"/>
      <x:c r="F70" s="3"/>
      <x:c r="G70" s="3"/>
      <x:c r="H70" s="3"/>
      <x:c r="I70" s="3"/>
    </x:row>
    <x:row r="71" ht="21.75" customHeight="1">
      <x:c r="A71" s="3"/>
      <x:c r="B71" s="3"/>
      <x:c r="C71" s="3"/>
      <x:c r="D71" s="3"/>
      <x:c r="E71" s="3"/>
      <x:c r="F71" s="3"/>
      <x:c r="G71" s="3"/>
      <x:c r="H71" s="3"/>
      <x:c r="I71" s="3"/>
    </x:row>
    <x:row r="72" ht="21.75" customHeight="1">
      <x:c r="A72" s="3"/>
      <x:c r="B72" s="3"/>
      <x:c r="C72" s="3"/>
      <x:c r="D72" s="3"/>
      <x:c r="E72" s="3"/>
      <x:c r="F72" s="3"/>
      <x:c r="G72" s="3"/>
      <x:c r="H72" s="3"/>
      <x:c r="I72" s="3"/>
    </x:row>
    <x:row r="73" ht="21.75" customHeight="1">
      <x:c r="A73" s="3"/>
      <x:c r="B73" s="3"/>
      <x:c r="C73" s="3"/>
      <x:c r="D73" s="3"/>
      <x:c r="E73" s="3"/>
      <x:c r="F73" s="3"/>
      <x:c r="G73" s="3"/>
      <x:c r="H73" s="3"/>
      <x:c r="I73" s="3"/>
    </x:row>
    <x:row r="74" ht="21.75" customHeight="1">
      <x:c r="A74" s="3"/>
      <x:c r="B74" s="3"/>
      <x:c r="C74" s="3"/>
      <x:c r="D74" s="3"/>
      <x:c r="E74" s="3"/>
      <x:c r="F74" s="3"/>
      <x:c r="G74" s="3"/>
      <x:c r="H74" s="3"/>
      <x:c r="I74" s="3"/>
    </x:row>
    <x:row r="75" ht="21.75" customHeight="1">
      <x:c r="A75" s="3"/>
      <x:c r="B75" s="3"/>
      <x:c r="C75" s="3"/>
      <x:c r="D75" s="3"/>
      <x:c r="E75" s="3"/>
      <x:c r="F75" s="3"/>
      <x:c r="G75" s="3"/>
      <x:c r="H75" s="3"/>
      <x:c r="I75" s="3"/>
    </x:row>
    <x:row r="76" ht="21.75" customHeight="1">
      <x:c r="A76" s="3"/>
      <x:c r="B76" s="3"/>
      <x:c r="C76" s="3"/>
      <x:c r="D76" s="3"/>
      <x:c r="E76" s="3"/>
      <x:c r="F76" s="3"/>
      <x:c r="G76" s="3"/>
      <x:c r="H76" s="3"/>
      <x:c r="I76" s="3"/>
    </x:row>
    <x:row r="77" ht="21.75" customHeight="1">
      <x:c r="A77" s="3"/>
      <x:c r="B77" s="3"/>
      <x:c r="C77" s="3"/>
      <x:c r="D77" s="3"/>
      <x:c r="E77" s="3"/>
      <x:c r="F77" s="3"/>
      <x:c r="G77" s="3"/>
      <x:c r="H77" s="3"/>
      <x:c r="I77" s="3"/>
    </x:row>
    <x:row r="78" ht="21.75" customHeight="1">
      <x:c r="A78" s="3"/>
      <x:c r="B78" s="3"/>
      <x:c r="C78" s="3"/>
      <x:c r="D78" s="3"/>
      <x:c r="E78" s="3"/>
      <x:c r="F78" s="3"/>
      <x:c r="G78" s="3"/>
      <x:c r="H78" s="3"/>
      <x:c r="I78" s="3"/>
    </x:row>
    <x:row r="79" ht="21.75" customHeight="1">
      <x:c r="A79" s="3"/>
      <x:c r="B79" s="3"/>
      <x:c r="C79" s="3"/>
      <x:c r="D79" s="3"/>
      <x:c r="E79" s="3"/>
      <x:c r="F79" s="3"/>
      <x:c r="G79" s="3"/>
      <x:c r="H79" s="3"/>
      <x:c r="I79" s="3"/>
    </x:row>
    <x:row r="80" ht="21.75" customHeight="1">
      <x:c r="A80" s="3"/>
      <x:c r="B80" s="3"/>
      <x:c r="C80" s="3"/>
      <x:c r="D80" s="3"/>
      <x:c r="E80" s="3"/>
      <x:c r="F80" s="3"/>
      <x:c r="G80" s="3"/>
      <x:c r="H80" s="3"/>
      <x:c r="I80" s="3"/>
    </x:row>
    <x:row r="81" ht="21.75" customHeight="1">
      <x:c r="A81" s="3"/>
      <x:c r="B81" s="3"/>
      <x:c r="C81" s="3"/>
      <x:c r="D81" s="3"/>
      <x:c r="E81" s="3"/>
      <x:c r="F81" s="3"/>
      <x:c r="G81" s="3"/>
      <x:c r="H81" s="3"/>
      <x:c r="I81" s="3"/>
    </x:row>
    <x:row r="82" ht="21.75" customHeight="1">
      <x:c r="A82" s="3"/>
      <x:c r="B82" s="3"/>
      <x:c r="C82" s="3"/>
      <x:c r="D82" s="3"/>
      <x:c r="E82" s="3"/>
      <x:c r="F82" s="3"/>
      <x:c r="G82" s="3"/>
      <x:c r="H82" s="3"/>
      <x:c r="I82" s="3"/>
    </x:row>
  </x:sheetData>
  <x:mergeCells>
    <x:mergeCell ref="A2:I2"/>
    <x:mergeCell ref="A3:I3"/>
    <x:mergeCell ref="A5:B5"/>
    <x:mergeCell ref="D5:E5"/>
    <x:mergeCell ref="G5:H5"/>
    <x:mergeCell ref="F18:I18"/>
    <x:mergeCell ref="F19:I19"/>
    <x:mergeCell ref="F20:I20"/>
    <x:mergeCell ref="F21:I21"/>
    <x:mergeCell ref="A23:I23"/>
    <x:mergeCell ref="A24:C24"/>
    <x:mergeCell ref="D24:I24"/>
    <x:mergeCell ref="A25:C25"/>
    <x:mergeCell ref="D25:I25"/>
    <x:mergeCell ref="A26:C26"/>
    <x:mergeCell ref="D26:I26"/>
    <x:mergeCell ref="A27:C27"/>
    <x:mergeCell ref="D27:I27"/>
    <x:mergeCell ref="A28:C28"/>
    <x:mergeCell ref="D28:I28"/>
    <x:mergeCell ref="A29:C29"/>
    <x:mergeCell ref="D29:I29"/>
    <x:mergeCell ref="A30:C30"/>
    <x:mergeCell ref="D30:I30"/>
    <x:mergeCell ref="A31:C31"/>
    <x:mergeCell ref="D31:I31"/>
    <x:mergeCell ref="A32:C32"/>
    <x:mergeCell ref="D32:I32"/>
    <x:mergeCell ref="A33:C33"/>
    <x:mergeCell ref="D33:I33"/>
    <x:mergeCell ref="A34:C34"/>
    <x:mergeCell ref="D34:I34"/>
    <x:mergeCell ref="A35:C35"/>
    <x:mergeCell ref="D35:I35"/>
    <x:mergeCell ref="A36:C36"/>
    <x:mergeCell ref="D36:I36"/>
    <x:mergeCell ref="A37:C37"/>
    <x:mergeCell ref="D37:I37"/>
    <x:mergeCell ref="A38:C38"/>
    <x:mergeCell ref="D38:I38"/>
    <x:mergeCell ref="A39:C39"/>
    <x:mergeCell ref="D39:I39"/>
    <x:mergeCell ref="A40:C40"/>
    <x:mergeCell ref="D40:I40"/>
    <x:mergeCell ref="A41:C41"/>
    <x:mergeCell ref="D41:I41"/>
    <x:mergeCell ref="A42:C42"/>
    <x:mergeCell ref="D42:I42"/>
    <x:mergeCell ref="A43:C43"/>
    <x:mergeCell ref="D43:I43"/>
    <x:mergeCell ref="A44:C44"/>
    <x:mergeCell ref="D44:I44"/>
    <x:mergeCell ref="A45:C45"/>
    <x:mergeCell ref="D45:I45"/>
    <x:mergeCell ref="A46:C46"/>
    <x:mergeCell ref="D46:I46"/>
    <x:mergeCell ref="A47:C47"/>
    <x:mergeCell ref="D47:I47"/>
    <x:mergeCell ref="A48:C48"/>
    <x:mergeCell ref="D48:I48"/>
    <x:mergeCell ref="A49:C49"/>
    <x:mergeCell ref="D49:I49"/>
    <x:mergeCell ref="A50:C50"/>
    <x:mergeCell ref="D50:I50"/>
    <x:mergeCell ref="A51:C51"/>
    <x:mergeCell ref="D51:I51"/>
    <x:mergeCell ref="A52:C52"/>
    <x:mergeCell ref="D52:I52"/>
    <x:mergeCell ref="A53:C53"/>
    <x:mergeCell ref="D53:I53"/>
    <x:mergeCell ref="A54:C54"/>
    <x:mergeCell ref="D54:I54"/>
    <x:mergeCell ref="A55:C55"/>
    <x:mergeCell ref="D55:I55"/>
    <x:mergeCell ref="A64:I64"/>
    <x:mergeCell ref="A65:C65"/>
    <x:mergeCell ref="D65:I65"/>
    <x:mergeCell ref="A66:C66"/>
    <x:mergeCell ref="D66:I66"/>
    <x:mergeCell ref="A67:C67"/>
    <x:mergeCell ref="D67:I67"/>
    <x:mergeCell ref="A68:C68"/>
    <x:mergeCell ref="D68:I68"/>
    <x:mergeCell ref="A69:C69"/>
    <x:mergeCell ref="D69:I6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A75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.75" hidden="0" customWidth="1"/>
    <x:col min="2" max="2" width="17.75" hidden="0" customWidth="1"/>
    <x:col min="3" max="3" width="16" hidden="0" customWidth="1"/>
    <x:col min="4" max="4" width="30.5" hidden="0" customWidth="1"/>
    <x:col min="5" max="5" width="16" hidden="0" customWidth="1"/>
    <x:col min="6" max="6" width="8" hidden="0" customWidth="1"/>
    <x:col min="7" max="7" width="20" hidden="0" customWidth="1"/>
    <x:col min="8" max="8" width="10" hidden="0" customWidth="1"/>
    <x:col min="9" max="9" width="33.130001068115234" hidden="0" customWidth="1"/>
    <x:col min="10" max="10" width="10.25" hidden="0" customWidth="1"/>
    <x:col min="11" max="11" width="30.6299991607666" hidden="0" customWidth="1"/>
    <x:col min="12" max="12" width="10.25" hidden="0" customWidth="1"/>
    <x:col min="13" max="13" width="67.5" hidden="0" customWidth="1"/>
    <x:col min="14" max="14" width="39.380001068115234" hidden="0" customWidth="1"/>
    <x:col min="15" max="15" width="43.75" hidden="0" customWidth="1"/>
    <x:col min="16" max="16" width="45.630001068115234" hidden="0" customWidth="1"/>
    <x:col min="17" max="17" width="13.130000114440918" hidden="0" customWidth="1"/>
    <x:col min="18" max="18" width="35.630001068115234" hidden="0" customWidth="1"/>
    <x:col min="19" max="19" width="35.630001068115234" hidden="0" customWidth="1"/>
    <x:col min="20" max="20" width="45.630001068115234" hidden="0" customWidth="1"/>
    <x:col min="21" max="21" width="56.25" hidden="0" customWidth="1"/>
    <x:col min="22" max="22" width="40.630001068115234" hidden="0" customWidth="1"/>
    <x:col min="23" max="23" width="23.1299991607666" hidden="0" customWidth="1"/>
    <x:col min="24" max="24" width="30" hidden="0" customWidth="1"/>
    <x:col min="25" max="25" width="14.380000114440918" hidden="0" customWidth="1"/>
    <x:col min="26" max="26" width="46.880001068115234" hidden="0" customWidth="1"/>
    <x:col min="27" max="27" width="40" hidden="0" customWidth="1"/>
    <x:col min="28" max="28" width="21.8799991607666" hidden="0" customWidth="1"/>
    <x:col min="29" max="29" width="71.25" hidden="0" customWidth="1"/>
    <x:col min="30" max="30" width="57.5" hidden="0" customWidth="1"/>
    <x:col min="31" max="31" width="52.5" hidden="0" customWidth="1"/>
    <x:col min="32" max="32" width="18.1299991607666" hidden="0" customWidth="1"/>
  </x:cols>
  <x:sheetData>
    <x:row r="1" ht="33" customHeight="1">
      <x:c r="A1" s="10" t="str">
        <x:v>新题 ID</x:v>
      </x:c>
      <x:c r="B1" s="10" t="str">
        <x:v>任务大类</x:v>
      </x:c>
      <x:c r="C1" s="10" t="str">
        <x:v>独立模型 ID</x:v>
      </x:c>
      <x:c r="D1" s="10" t="str">
        <x:v>拟定题目</x:v>
      </x:c>
      <x:c r="E1" s="10" t="str">
        <x:v>结构类别</x:v>
      </x:c>
      <x:c r="F1" s="10" t="str">
        <x:v>维度</x:v>
      </x:c>
      <x:c r="G1" s="10" t="str">
        <x:v>本题侧重</x:v>
      </x:c>
      <x:c r="H1" s="10" t="str">
        <x:v>预设难度</x:v>
      </x:c>
      <x:c r="I1" s="10" t="str">
        <x:v>难度依据</x:v>
      </x:c>
      <x:c r="J1" s="10" t="str">
        <x:v>任务语言</x:v>
      </x:c>
      <x:c r="K1" s="10" t="str">
        <x:v>输入形式</x:v>
      </x:c>
      <x:c r="L1" s="10" t="str">
        <x:v>用户轮数</x:v>
      </x:c>
      <x:c r="M1" s="10" t="str">
        <x:v>具体场景与任务过程</x:v>
      </x:c>
      <x:c r="N1" s="10" t="str">
        <x:v>建模关键点</x:v>
      </x:c>
      <x:c r="O1" s="10" t="str">
        <x:v>需要展示的关键结果</x:v>
      </x:c>
      <x:c r="P1" s="10" t="str">
        <x:v>评分核对要点</x:v>
      </x:c>
      <x:c r="Q1" s="10" t="str">
        <x:v>来源类型</x:v>
      </x:c>
      <x:c r="R1" s="10" t="str">
        <x:v>旧题主来源 ID</x:v>
      </x:c>
      <x:c r="S1" s="10" t="str">
        <x:v>旧题辅助来源 ID</x:v>
      </x:c>
      <x:c r="T1" s="10" t="str">
        <x:v>沿用与改编说明</x:v>
      </x:c>
      <x:c r="U1" s="10" t="str">
        <x:v>标答软件与独立校核计划</x:v>
      </x:c>
      <x:c r="V1" s="10" t="str">
        <x:v>工具及素材前提</x:v>
      </x:c>
      <x:c r="W1" s="10" t="str">
        <x:v>当前状态</x:v>
      </x:c>
      <x:c r="X1" s="25" t="str">
        <x:v>工程场景适用软件</x:v>
      </x:c>
      <x:c r="Y1" s="25" t="str">
        <x:v>拟定执行软件</x:v>
      </x:c>
      <x:c r="Z1" s="25" t="str">
        <x:v>软件分配依据</x:v>
      </x:c>
      <x:c r="AA1" s="25" t="str">
        <x:v>指定软件执行要求</x:v>
      </x:c>
      <x:c r="AB1" s="25" t="str">
        <x:v>当前接入状态</x:v>
      </x:c>
      <x:c r="AC1" s="25" t="str">
        <x:v>接口缺口与补齐事项</x:v>
      </x:c>
      <x:c r="AD1" s="25" t="str">
        <x:v>分析设置与等价性</x:v>
      </x:c>
      <x:c r="AE1" s="25" t="str">
        <x:v>必须保留的计算证据</x:v>
      </x:c>
      <x:c r="AF1" s="25" t="str">
        <x:v>能力判断依据代码</x:v>
      </x:c>
    </x:row>
    <x:row r="2" ht="67.5" customHeight="1">
      <x:c r="A2" s="13" t="str">
        <x:v>STD-001</x:v>
      </x:c>
      <x:c r="B2" s="5" t="str">
        <x:v>标准工作流</x:v>
      </x:c>
      <x:c r="C2" s="17" t="str">
        <x:v>M-STD-001</x:v>
      </x:c>
      <x:c r="D2" s="5" t="str">
        <x:v>6m简支梁全跨均布载</x:v>
      </x:c>
      <x:c r="E2" s="5" t="str">
        <x:v>梁</x:v>
      </x:c>
      <x:c r="F2" s="17" t="str">
        <x:v>2D</x:v>
      </x:c>
      <x:c r="G2" s="5" t="str">
        <x:v>基础边界与全跨加载</x:v>
      </x:c>
      <x:c r="H2" s="17" t="str">
        <x:v>L1</x:v>
      </x:c>
      <x:c r="I2" s="5" t="str">
        <x:v>单一荷载和典型边界；需要把跨中观测节点接入计算模型。</x:v>
      </x:c>
      <x:c r="J2" s="17" t="str">
        <x:v>中文</x:v>
      </x:c>
      <x:c r="K2" s="5" t="str">
        <x:v>完整文字任务 + 随题分析属性表（待编制）</x:v>
      </x:c>
      <x:c r="L2" s="21" t="n">
        <x:v>1</x:v>
      </x:c>
      <x:c r="M2" s="5" t="str">
        <x:v>跨度6m，左铰右滚，全跨向下20kN/m，跨中观测点；完整属性按公共契约随题给出。 明确跨中设置连通观测节点，自重关闭，采用一阶弹性分析。</x:v>
      </x:c>
      <x:c r="N2" s="5" t="str">
        <x:v>梁边界和均布荷载覆盖</x:v>
      </x:c>
      <x:c r="O2" s="5" t="str">
        <x:v>左右反力、跨中竖向位移及跨中弯矩。</x:v>
      </x:c>
      <x:c r="P2" s="5" t="str">
        <x:v>梁边界和均布荷载覆盖；指定位置/分量对照数值真值，输出文字与结构化结果保持符号、单位和工况一致。</x:v>
      </x:c>
      <x:c r="Q2" s="17" t="str">
        <x:v>旧题改编</x:v>
      </x:c>
      <x:c r="R2" s="5" t="str">
        <x:v>beam-static-6m</x:v>
      </x:c>
      <x:c r="S2" s="5" t="str">
        <x:v>std-beam-6m-gt-repeat</x:v>
      </x:c>
      <x:c r="T2" s="5" t="str">
        <x:v>保留旧题主要几何与荷载，显式补齐单位、自重、观测位置和结果评分；新契约下须重新核验真值。</x:v>
      </x:c>
      <x:c r="U2" s="5" t="str">
        <x:v>拟建立独立审定的 OpenSees 模型及同版本/同设置参考结果；简支梁解析解；对照支反力与跨中挠度，含载荷项的内部弯矩恢复另行校验。 参考值尚未生成。 所有题定输出均须覆盖，校核实现不复用被测转换链路。</x:v>
      </x:c>
      <x:c r="V2" s="5" t="str">
        <x:v>基础工具；完整题面、参数/单位契约与真值待验证</x:v>
      </x:c>
      <x:c r="W2" s="5" t="str">
        <x:v>规划，待编题与验证</x:v>
      </x:c>
      <x:c r="X2" s="5" t="str">
        <x:v>OpenSees</x:v>
      </x:c>
      <x:c r="Y2" s="17" t="str">
        <x:v>OpenSees</x:v>
      </x:c>
      <x:c r="Z2" s="5" t="str">
        <x:v>单根梁的边界、载荷与截面响应核验，采用 OpenSees 一般杆系求解。 本题重点：梁边界和均布荷载覆盖。</x:v>
      </x:c>
      <x:c r="AA2" s="5" t="str">
        <x:v>拟要求真实 OpenSees 求解，保存输入与原始结果的对应关系；解析式/独立矩阵解用于校核，不能替代规定引擎执行证据。</x:v>
      </x:c>
      <x:c r="AB2" s="5" t="str">
        <x:v>待逐题验证</x:v>
      </x:c>
      <x:c r="AC2" s="5" t="str">
        <x:v>跨中观测节点与含均布荷载项的跨内弯矩恢复须验收。 当前无据认定接口不支持；需实际能力测试后确定，不将未验证能力记为模型失败。</x:v>
      </x:c>
      <x:c r="AD2" s="5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" s="5" t="str">
        <x:v>拟保存（尚未生成）：OpenSees 版本、可运行模型/脚本、节点构件和荷载表、实际计算日志、原始结果与工况索引、平衡/独立解校核记录。</x:v>
      </x:c>
      <x:c r="AF2" s="5" t="str">
        <x:v>OPS；COMMON</x:v>
      </x:c>
    </x:row>
    <x:row r="3" ht="67.5" customHeight="1">
      <x:c r="A3" s="14" t="str">
        <x:v>STD-002</x:v>
      </x:c>
      <x:c r="B3" s="11" t="str">
        <x:v>标准工作流</x:v>
      </x:c>
      <x:c r="C3" s="18" t="str">
        <x:v>M-STD-002</x:v>
      </x:c>
      <x:c r="D3" s="11" t="str">
        <x:v>3m悬臂梁端部集中力</x:v>
      </x:c>
      <x:c r="E3" s="11" t="str">
        <x:v>梁</x:v>
      </x:c>
      <x:c r="F3" s="18" t="str">
        <x:v>2D</x:v>
      </x:c>
      <x:c r="G3" s="11" t="str">
        <x:v>悬臂边界与端响应</x:v>
      </x:c>
      <x:c r="H3" s="18" t="str">
        <x:v>L1</x:v>
      </x:c>
      <x:c r="I3" s="11" t="str">
        <x:v>端部集中力与固定边界直接给出，建模映射单一。</x:v>
      </x:c>
      <x:c r="J3" s="18" t="str">
        <x:v>英文</x:v>
      </x:c>
      <x:c r="K3" s="11" t="str">
        <x:v>完整文字任务 + 随题分析属性表（待编制）</x:v>
      </x:c>
      <x:c r="L3" s="22" t="n">
        <x:v>1</x:v>
      </x:c>
      <x:c r="M3" s="11" t="str">
        <x:v>跨度3m，左固支，右端向下10kN；完整属性按公共契约随题给出。 固定端在左，自由端在右；自由端外力仅竖向，不附加转动约束。</x:v>
      </x:c>
      <x:c r="N3" s="11" t="str">
        <x:v>固端与自由端不能互换</x:v>
      </x:c>
      <x:c r="O3" s="11" t="str">
        <x:v>自由端竖向位移/转角、固端反力和弯矩。</x:v>
      </x:c>
      <x:c r="P3" s="11" t="str">
        <x:v>固端与自由端不能互换；指定位置/分量对照数值真值，输出文字与结构化结果保持符号、单位和工况一致。</x:v>
      </x:c>
      <x:c r="Q3" s="18" t="str">
        <x:v>旧题改编</x:v>
      </x:c>
      <x:c r="R3" s="11" t="str">
        <x:v>beam-cantilever-point-load</x:v>
      </x:c>
      <x:c r="S3" s="11" t="str">
        <x:v>无</x:v>
      </x:c>
      <x:c r="T3" s="11" t="str">
        <x:v>保留旧题主要几何与荷载，显式补齐单位、自重、观测位置和结果评分；新契约下须重新核验真值。</x:v>
      </x:c>
      <x:c r="U3" s="11" t="str">
        <x:v>拟建立独立审定的 OpenSees 模型及同版本/同设置参考结果；悬臂梁解析位移、转角和反力；与独立杆端力平衡核对。 参考值尚未生成。 所有题定输出均须覆盖，校核实现不复用被测转换链路。</x:v>
      </x:c>
      <x:c r="V3" s="11" t="str">
        <x:v>基础工具；完整题面、参数/单位契约与真值待验证</x:v>
      </x:c>
      <x:c r="W3" s="11" t="str">
        <x:v>规划，待编题与验证</x:v>
      </x:c>
      <x:c r="X3" s="11" t="str">
        <x:v>OpenSees</x:v>
      </x:c>
      <x:c r="Y3" s="18" t="str">
        <x:v>OpenSees</x:v>
      </x:c>
      <x:c r="Z3" s="11" t="str">
        <x:v>单根梁的边界、载荷与截面响应核验，采用 OpenSees 一般杆系求解。 本题重点：固端与自由端不能互换。</x:v>
      </x:c>
      <x:c r="AA3" s="11" t="str">
        <x:v>拟要求真实 OpenSees 求解，保存输入与原始结果的对应关系；解析式/独立矩阵解用于校核，不能替代规定引擎执行证据。</x:v>
      </x:c>
      <x:c r="AB3" s="11" t="str">
        <x:v>待逐题验证</x:v>
      </x:c>
      <x:c r="AC3" s="11" t="str">
        <x:v>逐题核验固端与自由端不能互换；输入、结果分量/位置及数值标答尚未完成验收。 当前无据认定接口不支持；需实际能力测试后确定，不将未验证能力记为模型失败。</x:v>
      </x:c>
      <x:c r="AD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3" s="11" t="str">
        <x:v>拟保存（尚未生成）：OpenSees 版本、可运行模型/脚本、节点构件和荷载表、实际计算日志、原始结果与工况索引、平衡/独立解校核记录。</x:v>
      </x:c>
      <x:c r="AF3" s="11" t="str">
        <x:v>OPS；COMMON</x:v>
      </x:c>
    </x:row>
    <x:row r="4" ht="67.5" customHeight="1">
      <x:c r="A4" s="15" t="str">
        <x:v>STD-003</x:v>
      </x:c>
      <x:c r="B4" s="6" t="str">
        <x:v>标准工作流</x:v>
      </x:c>
      <x:c r="C4" s="19" t="str">
        <x:v>M-STD-003</x:v>
      </x:c>
      <x:c r="D4" s="6" t="str">
        <x:v>简支段加右侧外伸梁</x:v>
      </x:c>
      <x:c r="E4" s="6" t="str">
        <x:v>梁</x:v>
      </x:c>
      <x:c r="F4" s="19" t="str">
        <x:v>2D</x:v>
      </x:c>
      <x:c r="G4" s="6" t="str">
        <x:v>外伸边界与观测定位</x:v>
      </x:c>
      <x:c r="H4" s="19" t="str">
        <x:v>L2</x:v>
      </x:c>
      <x:c r="I4" s="6" t="str">
        <x:v>需要区分支座位置、梁端位置与两种中点，避免错误加约束。</x:v>
      </x:c>
      <x:c r="J4" s="19" t="str">
        <x:v>中文</x:v>
      </x:c>
      <x:c r="K4" s="6" t="str">
        <x:v>完整文字任务 + 随题分析属性表（待编制）</x:v>
      </x:c>
      <x:c r="L4" s="23" t="n">
        <x:v>1</x:v>
      </x:c>
      <x:c r="M4" s="6" t="str">
        <x:v>支座x=0、5m，右端x=6.5m，全长向下15kN/m，观测x=3.25m和外伸端；完整属性按公共契约随题给出。 明确全长中点为x=3.25m；它不是5m支承跨的跨中，不把右支座视为梁端。</x:v>
      </x:c>
      <x:c r="N4" s="6" t="str">
        <x:v>全长中点与支承跨中不同</x:v>
      </x:c>
      <x:c r="O4" s="6" t="str">
        <x:v>x=3.25m和x=6.5m的竖向位移，两支座反力和右支座截面弯矩。</x:v>
      </x:c>
      <x:c r="P4" s="6" t="str">
        <x:v>全长中点与支承跨中不同；指定位置/分量对照数值真值，输出文字与结构化结果保持符号、单位和工况一致。</x:v>
      </x:c>
      <x:c r="Q4" s="19" t="str">
        <x:v>旧题改编</x:v>
      </x:c>
      <x:c r="R4" s="6" t="str">
        <x:v>beam-overhanging-static</x:v>
      </x:c>
      <x:c r="S4" s="6" t="str">
        <x:v>无</x:v>
      </x:c>
      <x:c r="T4" s="6" t="str">
        <x:v>保留旧题主要几何与荷载，显式补齐单位、自重、观测位置和结果评分；新契约下须重新核验真值。</x:v>
      </x:c>
      <x:c r="U4" s="6" t="str">
        <x:v>拟建立独立审定的 OpenSees 模型及同版本/同设置参考结果；分段积分/单位荷载法复核两观测位移，静力平衡复核反力。 参考值尚未生成。 所有题定输出均须覆盖，校核实现不复用被测转换链路。</x:v>
      </x:c>
      <x:c r="V4" s="6" t="str">
        <x:v>基础工具；完整题面、参数/单位契约与真值待验证</x:v>
      </x:c>
      <x:c r="W4" s="6" t="str">
        <x:v>规划，待编题与验证</x:v>
      </x:c>
      <x:c r="X4" s="6" t="str">
        <x:v>OpenSees</x:v>
      </x:c>
      <x:c r="Y4" s="19" t="str">
        <x:v>OpenSees</x:v>
      </x:c>
      <x:c r="Z4" s="6" t="str">
        <x:v>单根梁的边界、载荷与截面响应核验，采用 OpenSees 一般杆系求解。 本题重点：全长中点与支承跨中不同。</x:v>
      </x:c>
      <x:c r="AA4" s="6" t="str">
        <x:v>拟要求真实 OpenSees 求解，保存输入与原始结果的对应关系；解析式/独立矩阵解用于校核，不能替代规定引擎执行证据。</x:v>
      </x:c>
      <x:c r="AB4" s="6" t="str">
        <x:v>待逐题验证</x:v>
      </x:c>
      <x:c r="AC4" s="6" t="str">
        <x:v>外伸段与两处指定观测点的位移/截面内力读取须验收。 当前无据认定接口不支持；需实际能力测试后确定，不将未验证能力记为模型失败。</x:v>
      </x:c>
      <x:c r="AD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4" s="6" t="str">
        <x:v>拟保存（尚未生成）：OpenSees 版本、可运行模型/脚本、节点构件和荷载表、实际计算日志、原始结果与工况索引、平衡/独立解校核记录。</x:v>
      </x:c>
      <x:c r="AF4" s="6" t="str">
        <x:v>OPS；COMMON</x:v>
      </x:c>
    </x:row>
    <x:row r="5" ht="67.5" customHeight="1">
      <x:c r="A5" s="14" t="str">
        <x:v>STD-004</x:v>
      </x:c>
      <x:c r="B5" s="11" t="str">
        <x:v>标准工作流</x:v>
      </x:c>
      <x:c r="C5" s="18" t="str">
        <x:v>M-STD-004</x:v>
      </x:c>
      <x:c r="D5" s="11" t="str">
        <x:v>偏心点载与均布载组合梁</x:v>
      </x:c>
      <x:c r="E5" s="11" t="str">
        <x:v>梁</x:v>
      </x:c>
      <x:c r="F5" s="18" t="str">
        <x:v>2D</x:v>
      </x:c>
      <x:c r="G5" s="11" t="str">
        <x:v>非对称混合荷载</x:v>
      </x:c>
      <x:c r="H5" s="18" t="str">
        <x:v>L2</x:v>
      </x:c>
      <x:c r="I5" s="11" t="str">
        <x:v>两种荷载叠加且力点和观测点分离，分段与荷载覆盖需同步。</x:v>
      </x:c>
      <x:c r="J5" s="18" t="str">
        <x:v>英文</x:v>
      </x:c>
      <x:c r="K5" s="11" t="str">
        <x:v>完整文字任务 + 随题分析属性表（待编制）</x:v>
      </x:c>
      <x:c r="L5" s="22" t="n">
        <x:v>1</x:v>
      </x:c>
      <x:c r="M5" s="11" t="str">
        <x:v>跨度12m，左铰右滚，均布载15kN/m，x=4m处向下50kN，观测跨中；完整属性按公共契约随题给出。 x=4m集中力节点与x=6m观测节点分别连通，均布载覆盖全长。</x:v>
      </x:c>
      <x:c r="N5" s="11" t="str">
        <x:v>点载位置与观测位置分离</x:v>
      </x:c>
      <x:c r="O5" s="11" t="str">
        <x:v>两支座反力、x=4m和6m位移，x=4m截面弯矩。</x:v>
      </x:c>
      <x:c r="P5" s="11" t="str">
        <x:v>点载位置与观测位置分离；指定位置/分量对照数值真值，输出文字与结构化结果保持符号、单位和工况一致。</x:v>
      </x:c>
      <x:c r="Q5" s="18" t="str">
        <x:v>旧题改编</x:v>
      </x:c>
      <x:c r="R5" s="11" t="str">
        <x:v>std-beam-12m-combo-gt</x:v>
      </x:c>
      <x:c r="S5" s="11" t="str">
        <x:v>无</x:v>
      </x:c>
      <x:c r="T5" s="11" t="str">
        <x:v>保留旧题主要几何与荷载，显式补齐单位、自重、观测位置和结果评分；新契约下须重新核验真值。</x:v>
      </x:c>
      <x:c r="U5" s="11" t="str">
        <x:v>拟建立独立审定的 OpenSees 模型及同版本/同设置参考结果；集中力与均布载解析叠加；检查力点剪力跳跃及整体平衡。 参考值尚未生成。 所有题定输出均须覆盖，校核实现不复用被测转换链路。</x:v>
      </x:c>
      <x:c r="V5" s="11" t="str">
        <x:v>基础工具；完整题面、参数/单位契约与真值待验证</x:v>
      </x:c>
      <x:c r="W5" s="11" t="str">
        <x:v>规划，待编题与验证</x:v>
      </x:c>
      <x:c r="X5" s="11" t="str">
        <x:v>OpenSees</x:v>
      </x:c>
      <x:c r="Y5" s="18" t="str">
        <x:v>OpenSees</x:v>
      </x:c>
      <x:c r="Z5" s="11" t="str">
        <x:v>单根梁的边界、载荷与截面响应核验，采用 OpenSees 一般杆系求解。 本题重点：点载位置与观测位置分离。</x:v>
      </x:c>
      <x:c r="AA5" s="11" t="str">
        <x:v>拟要求真实 OpenSees 求解，保存输入与原始结果的对应关系；解析式/独立矩阵解用于校核，不能替代规定引擎执行证据。</x:v>
      </x:c>
      <x:c r="AB5" s="11" t="str">
        <x:v>待逐题验证</x:v>
      </x:c>
      <x:c r="AC5" s="11" t="str">
        <x:v>力点及观测点分段、均布载与集中力叠加及力点截面内力须验收。 当前无据认定接口不支持；需实际能力测试后确定，不将未验证能力记为模型失败。</x:v>
      </x:c>
      <x:c r="AD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5" s="11" t="str">
        <x:v>拟保存（尚未生成）：OpenSees 版本、可运行模型/脚本、节点构件和荷载表、实际计算日志、原始结果与工况索引、平衡/独立解校核记录。</x:v>
      </x:c>
      <x:c r="AF5" s="11" t="str">
        <x:v>OPS；COMMON</x:v>
      </x:c>
    </x:row>
    <x:row r="6" ht="67.5" customHeight="1">
      <x:c r="A6" s="15" t="str">
        <x:v>STD-005</x:v>
      </x:c>
      <x:c r="B6" s="6" t="str">
        <x:v>标准工作流</x:v>
      </x:c>
      <x:c r="C6" s="19" t="str">
        <x:v>M-STD-005</x:v>
      </x:c>
      <x:c r="D6" s="6" t="str">
        <x:v>4m简支梁跨中集中力</x:v>
      </x:c>
      <x:c r="E6" s="6" t="str">
        <x:v>梁</x:v>
      </x:c>
      <x:c r="F6" s="19" t="str">
        <x:v>2D</x:v>
      </x:c>
      <x:c r="G6" s="6" t="str">
        <x:v>集中力与连通节点</x:v>
      </x:c>
      <x:c r="H6" s="19" t="str">
        <x:v>L1</x:v>
      </x:c>
      <x:c r="I6" s="6" t="str">
        <x:v>对称单点加载；主要检查跨中节点是否实际接入梁。</x:v>
      </x:c>
      <x:c r="J6" s="19" t="str">
        <x:v>中文</x:v>
      </x:c>
      <x:c r="K6" s="6" t="str">
        <x:v>完整文字任务 + 随题分析属性表（待编制）</x:v>
      </x:c>
      <x:c r="L6" s="23" t="n">
        <x:v>1</x:v>
      </x:c>
      <x:c r="M6" s="6" t="str">
        <x:v>跨度4m，跨中向下25kN，左铰右滚；完整属性按公共契约随题给出。 跨中为唯一集中力作用点，两侧梁单元必须共享该节点。</x:v>
      </x:c>
      <x:c r="N6" s="6" t="str">
        <x:v>集中力节点必须连接两侧单元</x:v>
      </x:c>
      <x:c r="O6" s="6" t="str">
        <x:v>跨中竖向位移和弯矩、左右竖向反力。</x:v>
      </x:c>
      <x:c r="P6" s="6" t="str">
        <x:v>集中力节点必须连接两侧单元；指定位置/分量对照数值真值，输出文字与结构化结果保持符号、单位和工况一致。</x:v>
      </x:c>
      <x:c r="Q6" s="19" t="str">
        <x:v>旧题改编</x:v>
      </x:c>
      <x:c r="R6" s="6" t="str">
        <x:v>std-beam-4m-point-mid</x:v>
      </x:c>
      <x:c r="S6" s="6" t="str">
        <x:v>无</x:v>
      </x:c>
      <x:c r="T6" s="6" t="str">
        <x:v>保留旧题主要几何与荷载，显式补齐单位、自重、观测位置和结果评分；新契约下须重新核验真值。</x:v>
      </x:c>
      <x:c r="U6" s="6" t="str">
        <x:v>拟建立独立审定的 OpenSees 模型及同版本/同设置参考结果；集中力简支梁解析解；左右反力对称性与节点平衡复核。 参考值尚未生成。 所有题定输出均须覆盖，校核实现不复用被测转换链路。</x:v>
      </x:c>
      <x:c r="V6" s="6" t="str">
        <x:v>基础工具；完整题面、参数/单位契约与真值待验证</x:v>
      </x:c>
      <x:c r="W6" s="6" t="str">
        <x:v>规划，待编题与验证</x:v>
      </x:c>
      <x:c r="X6" s="6" t="str">
        <x:v>OpenSees</x:v>
      </x:c>
      <x:c r="Y6" s="19" t="str">
        <x:v>OpenSees</x:v>
      </x:c>
      <x:c r="Z6" s="6" t="str">
        <x:v>单根梁的边界、载荷与截面响应核验，采用 OpenSees 一般杆系求解。 本题重点：集中力节点必须连接两侧单元。</x:v>
      </x:c>
      <x:c r="AA6" s="6" t="str">
        <x:v>拟要求真实 OpenSees 求解，保存输入与原始结果的对应关系；解析式/独立矩阵解用于校核，不能替代规定引擎执行证据。</x:v>
      </x:c>
      <x:c r="AB6" s="6" t="str">
        <x:v>待逐题验证</x:v>
      </x:c>
      <x:c r="AC6" s="6" t="str">
        <x:v>逐题核验集中力节点必须连接两侧单元；输入、结果分量/位置及数值标答尚未完成验收。 当前无据认定接口不支持；需实际能力测试后确定，不将未验证能力记为模型失败。</x:v>
      </x:c>
      <x:c r="AD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6" s="6" t="str">
        <x:v>拟保存（尚未生成）：OpenSees 版本、可运行模型/脚本、节点构件和荷载表、实际计算日志、原始结果与工况索引、平衡/独立解校核记录。</x:v>
      </x:c>
      <x:c r="AF6" s="6" t="str">
        <x:v>OPS；COMMON</x:v>
      </x:c>
    </x:row>
    <x:row r="7" ht="67.5" customHeight="1">
      <x:c r="A7" s="14" t="str">
        <x:v>STD-006</x:v>
      </x:c>
      <x:c r="B7" s="11" t="str">
        <x:v>标准工作流</x:v>
      </x:c>
      <x:c r="C7" s="18" t="str">
        <x:v>M-STD-006</x:v>
      </x:c>
      <x:c r="D7" s="11" t="str">
        <x:v>均布载与端部力矩梁的计算摘要</x:v>
      </x:c>
      <x:c r="E7" s="11" t="str">
        <x:v>梁</x:v>
      </x:c>
      <x:c r="F7" s="18" t="str">
        <x:v>2D</x:v>
      </x:c>
      <x:c r="G7" s="11" t="str">
        <x:v>端力矩叠加与计算摘要</x:v>
      </x:c>
      <x:c r="H7" s="18" t="str">
        <x:v>L2</x:v>
      </x:c>
      <x:c r="I7" s="11" t="str">
        <x:v>均布载与端部节点力矩叠加，需区分力矩自由度并核对摘要和数值结果。</x:v>
      </x:c>
      <x:c r="J7" s="18" t="str">
        <x:v>英文</x:v>
      </x:c>
      <x:c r="K7" s="11" t="str">
        <x:v>完整文字任务 + 随题分析属性表（待编制）</x:v>
      </x:c>
      <x:c r="L7" s="22" t="n">
        <x:v>1</x:v>
      </x:c>
      <x:c r="M7" s="11" t="str">
        <x:v>8m水平简支梁，左铰右竖向滚支，全跨向下18kN/m，右端施加全局正Y向20kN·m；跨中设置连通观测点。输出一页计算摘要，材料截面及单位按公共契约给出。</x:v>
      </x:c>
      <x:c r="N7" s="11" t="str">
        <x:v>右端力矩作用于自由转角，滚支不增加转动约束</x:v>
      </x:c>
      <x:c r="O7" s="11" t="str">
        <x:v>跨中竖向位移和弯矩、右端转角及两支反力；摘要与结果表的符号/单位/位置一致。</x:v>
      </x:c>
      <x:c r="P7" s="11" t="str">
        <x:v>右端力矩作用于自由转角，滚支不增加转动约束；指定位置/分量对照数值真值，输出文字与结构化结果保持符号、单位和工况一致。</x:v>
      </x:c>
      <x:c r="Q7" s="18" t="str">
        <x:v>旧题改编</x:v>
      </x:c>
      <x:c r="R7" s="11" t="str">
        <x:v>beam-static-with-report</x:v>
      </x:c>
      <x:c r="S7" s="11" t="str">
        <x:v>无</x:v>
      </x:c>
      <x:c r="T7" s="11" t="str">
        <x:v>保留旧题主要几何与荷载，显式补齐单位、自重、观测位置和结果评分；新契约下须重新核验真值。 为形成独立物理模型，新增右端20kN·m力矩；不得直接复用旧纯均布载结果。</x:v>
      </x:c>
      <x:c r="U7" s="11" t="str">
        <x:v>拟建立独立审定的 OpenSees 模型及同版本/同设置参考结果；均布梁与端力矩解析叠加；核验整体力矩平衡、端转角和摘要数值一致性；新真值待建立。 所有题定输出均须覆盖，校核实现不复用被测转换链路。</x:v>
      </x:c>
      <x:c r="V7" s="11" t="str">
        <x:v>节点力矩与端转角输出接口需验证；完整题面、参数/单位契约与新真值待建立</x:v>
      </x:c>
      <x:c r="W7" s="11" t="str">
        <x:v>规划，待编题与验证</x:v>
      </x:c>
      <x:c r="X7" s="11" t="str">
        <x:v>OpenSees</x:v>
      </x:c>
      <x:c r="Y7" s="18" t="str">
        <x:v>OpenSees</x:v>
      </x:c>
      <x:c r="Z7" s="11" t="str">
        <x:v>单根梁的边界、载荷与截面响应核验，采用 OpenSees 一般杆系求解。 本题重点：右端力矩作用于自由转角，滚支不增加转动约束。</x:v>
      </x:c>
      <x:c r="AA7" s="11" t="str">
        <x:v>拟要求真实 OpenSees 求解，保存输入与原始结果的对应关系；解析式/独立矩阵解用于校核，不能替代规定引擎执行证据。</x:v>
      </x:c>
      <x:c r="AB7" s="11" t="str">
        <x:v>待逐题验证</x:v>
      </x:c>
      <x:c r="AC7" s="11" t="str">
        <x:v>右滚支端外加节点力矩、自由转角及截面弯矩符号须验收。 当前无据认定接口不支持；需实际能力测试后确定，不将未验证能力记为模型失败。</x:v>
      </x:c>
      <x:c r="AD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7" s="11" t="str">
        <x:v>拟保存（尚未生成）：OpenSees 版本、可运行模型/脚本、节点构件和荷载表、实际计算日志、原始结果与工况索引、平衡/独立解校核记录。</x:v>
      </x:c>
      <x:c r="AF7" s="11" t="str">
        <x:v>OPS；COMMON</x:v>
      </x:c>
    </x:row>
    <x:row r="8" ht="67.5" customHeight="1">
      <x:c r="A8" s="15" t="str">
        <x:v>STD-007</x:v>
      </x:c>
      <x:c r="B8" s="6" t="str">
        <x:v>标准工作流</x:v>
      </x:c>
      <x:c r="C8" s="19" t="str">
        <x:v>M-STD-007</x:v>
      </x:c>
      <x:c r="D8" s="6" t="str">
        <x:v>竖向均布载与轴向端力梁（混合单位）</x:v>
      </x:c>
      <x:c r="E8" s="6" t="str">
        <x:v>梁</x:v>
      </x:c>
      <x:c r="F8" s="19" t="str">
        <x:v>2D</x:v>
      </x:c>
      <x:c r="G8" s="6" t="str">
        <x:v>单位换算与等价建模</x:v>
      </x:c>
      <x:c r="H8" s="19" t="str">
        <x:v>L2</x:v>
      </x:c>
      <x:c r="I8" s="6" t="str">
        <x:v>轴向拉伸与弯曲同时存在，且长度、荷载、截面和材料单位需联合转换。</x:v>
      </x:c>
      <x:c r="J8" s="19" t="str">
        <x:v>英文</x:v>
      </x:c>
      <x:c r="K8" s="6" t="str">
        <x:v>完整文字任务 + 随题分析属性表（待编制）</x:v>
      </x:c>
      <x:c r="L8" s="23" t="n">
        <x:v>1</x:v>
      </x:c>
      <x:c r="M8" s="6" t="str">
        <x:v>水平梁长8000mm，左铰右滚支且右端轴向自由；全跨向下15N/mm，右端另加全局X向10000N。截面用mm²/mm⁴、材料MPa，按公共契约给定完整属性；输出用mm和kN。</x:v>
      </x:c>
      <x:c r="N8" s="6" t="str">
        <x:v>轴向端力与竖向均布载分量分离，并正确换算各字段单位</x:v>
      </x:c>
      <x:c r="O8" s="6" t="str">
        <x:v>右端X位移、跨中Z位移/弯矩、两支座反力向量及单位转换记录。</x:v>
      </x:c>
      <x:c r="P8" s="6" t="str">
        <x:v>轴向端力与竖向均布载分量分离，并正确换算各字段单位；指定位置/分量对照数值真值，输出文字与结构化结果保持符号、单位和工况一致。</x:v>
      </x:c>
      <x:c r="Q8" s="19" t="str">
        <x:v>旧题改编</x:v>
      </x:c>
      <x:c r="R8" s="6" t="str">
        <x:v>beam-simply-supported-en</x:v>
      </x:c>
      <x:c r="S8" s="6" t="str">
        <x:v>无</x:v>
      </x:c>
      <x:c r="T8" s="6" t="str">
        <x:v>保留旧题主要几何与荷载，显式补齐单位、自重、观测位置和结果评分；新契约下须重新核验真值。 为形成独立物理模型，新增右端10kN轴向拉力，不能仅视为原题翻译。</x:v>
      </x:c>
      <x:c r="U8" s="6" t="str">
        <x:v>拟建立独立审定的 OpenSees 模型及同版本/同设置参考结果；轴向PL/EA与简支均布梁弯曲解析叠加；与等价m-kN输入对照，平衡和量纲复核；新真值待建立。 所有题定输出均须覆盖，校核实现不复用被测转换链路。</x:v>
      </x:c>
      <x:c r="V8" s="6" t="str">
        <x:v>基础工具；完整题面、参数/单位契约与真值待验证</x:v>
      </x:c>
      <x:c r="W8" s="6" t="str">
        <x:v>规划，待编题与验证</x:v>
      </x:c>
      <x:c r="X8" s="6" t="str">
        <x:v>OpenSees</x:v>
      </x:c>
      <x:c r="Y8" s="19" t="str">
        <x:v>OpenSees</x:v>
      </x:c>
      <x:c r="Z8" s="6" t="str">
        <x:v>单根梁的边界、载荷与截面响应核验，采用 OpenSees 一般杆系求解。 本题重点：轴向端力与竖向均布载分量分离，并正确换算各字段单位。</x:v>
      </x:c>
      <x:c r="AA8" s="6" t="str">
        <x:v>拟要求真实 OpenSees 求解，保存输入与原始结果的对应关系；解析式/独立矩阵解用于校核，不能替代规定引擎执行证据。</x:v>
      </x:c>
      <x:c r="AB8" s="6" t="str">
        <x:v>待逐题验证</x:v>
      </x:c>
      <x:c r="AC8" s="6" t="str">
        <x:v>逐字段单位转换、轴向自由度与竖向/轴向荷载分量须验收。 当前无据认定接口不支持；需实际能力测试后确定，不将未验证能力记为模型失败。</x:v>
      </x:c>
      <x:c r="AD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8" s="6" t="str">
        <x:v>拟保存（尚未生成）：OpenSees 版本、可运行模型/脚本、节点构件和荷载表、实际计算日志、原始结果与工况索引、平衡/独立解校核记录。</x:v>
      </x:c>
      <x:c r="AF8" s="6" t="str">
        <x:v>OPS；COMMON</x:v>
      </x:c>
    </x:row>
    <x:row r="9" ht="67.5" customHeight="1">
      <x:c r="A9" s="14" t="str">
        <x:v>STD-008</x:v>
      </x:c>
      <x:c r="B9" s="11" t="str">
        <x:v>标准工作流</x:v>
      </x:c>
      <x:c r="C9" s="18" t="str">
        <x:v>M-STD-008</x:v>
      </x:c>
      <x:c r="D9" s="11" t="str">
        <x:v>中段局部均布荷载梁</x:v>
      </x:c>
      <x:c r="E9" s="11" t="str">
        <x:v>梁</x:v>
      </x:c>
      <x:c r="F9" s="18" t="str">
        <x:v>2D</x:v>
      </x:c>
      <x:c r="G9" s="11" t="str">
        <x:v>局部均布荷载</x:v>
      </x:c>
      <x:c r="H9" s="18" t="str">
        <x:v>L2</x:v>
      </x:c>
      <x:c r="I9" s="11" t="str">
        <x:v>加载起止点不是支座，需正确分段并避免全跨施载。</x:v>
      </x:c>
      <x:c r="J9" s="18" t="str">
        <x:v>中文</x:v>
      </x:c>
      <x:c r="K9" s="11" t="str">
        <x:v>完整文字任务 + 随题分析属性表（待编制）</x:v>
      </x:c>
      <x:c r="L9" s="22" t="n">
        <x:v>1</x:v>
      </x:c>
      <x:c r="M9" s="11" t="str">
        <x:v>跨度9m，左铰右滚，仅x=2至7m向下12kN/m；完整属性按公共契约随题给出。 仅x=2m至7m有均布载；两端无载段保留，x=4.5m设置观测点。</x:v>
      </x:c>
      <x:c r="N9" s="11" t="str">
        <x:v>加载区间端点必须正确分段</x:v>
      </x:c>
      <x:c r="O9" s="11" t="str">
        <x:v>两支反力、x=2/4.5/7m竖向位移和加载端截面弯矩。</x:v>
      </x:c>
      <x:c r="P9" s="11" t="str">
        <x:v>加载区间端点必须正确分段；指定位置/分量对照数值真值，输出文字与结构化结果保持符号、单位和工况一致。</x:v>
      </x:c>
      <x:c r="Q9" s="18" t="str">
        <x:v>新增</x:v>
      </x:c>
      <x:c r="R9" s="11" t="str">
        <x:v>无</x:v>
      </x:c>
      <x:c r="S9" s="11" t="str">
        <x:v>无</x:v>
      </x:c>
      <x:c r="T9" s="11" t="str">
        <x:v>新增工程场景；母模型、提示词和真值均待建立。</x:v>
      </x:c>
      <x:c r="U9" s="11" t="str">
        <x:v>拟建立独立审定的 OpenSees 模型及同版本/同设置参考结果；分段积分与等效荷载合力/力矩复核；检验无载段剪力规律。 参考值尚未生成。 所有题定输出均须覆盖，校核实现不复用被测转换链路。</x:v>
      </x:c>
      <x:c r="V9" s="11" t="str">
        <x:v>基础工具；完整题面、参数/单位契约与真值待验证</x:v>
      </x:c>
      <x:c r="W9" s="11" t="str">
        <x:v>规划，待编题与验证</x:v>
      </x:c>
      <x:c r="X9" s="11" t="str">
        <x:v>OpenSees</x:v>
      </x:c>
      <x:c r="Y9" s="18" t="str">
        <x:v>OpenSees</x:v>
      </x:c>
      <x:c r="Z9" s="11" t="str">
        <x:v>单根梁的边界、载荷与截面响应核验，采用 OpenSees 一般杆系求解。 本题重点：加载区间端点必须正确分段。</x:v>
      </x:c>
      <x:c r="AA9" s="11" t="str">
        <x:v>拟要求真实 OpenSees 求解，保存输入与原始结果的对应关系；解析式/独立矩阵解用于校核，不能替代规定引擎执行证据。</x:v>
      </x:c>
      <x:c r="AB9" s="11" t="str">
        <x:v>待逐题验证</x:v>
      </x:c>
      <x:c r="AC9" s="11" t="str">
        <x:v>局部均布载可用题定端点分段；须核验分段不漏载、截面结果不串位。 当前无据认定接口不支持；需实际能力测试后确定，不将未验证能力记为模型失败。</x:v>
      </x:c>
      <x:c r="AD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9" s="11" t="str">
        <x:v>拟保存（尚未生成）：OpenSees 版本、可运行模型/脚本、节点构件和荷载表、实际计算日志、原始结果与工况索引、平衡/独立解校核记录。</x:v>
      </x:c>
      <x:c r="AF9" s="11" t="str">
        <x:v>OPS；COMMON</x:v>
      </x:c>
    </x:row>
    <x:row r="10" ht="67.5" customHeight="1">
      <x:c r="A10" s="15" t="str">
        <x:v>STD-009</x:v>
      </x:c>
      <x:c r="B10" s="6" t="str">
        <x:v>标准工作流</x:v>
      </x:c>
      <x:c r="C10" s="19" t="str">
        <x:v>M-STD-009</x:v>
      </x:c>
      <x:c r="D10" s="6" t="str">
        <x:v>两处非对称集中荷载梁</x:v>
      </x:c>
      <x:c r="E10" s="6" t="str">
        <x:v>梁</x:v>
      </x:c>
      <x:c r="F10" s="19" t="str">
        <x:v>2D</x:v>
      </x:c>
      <x:c r="G10" s="6" t="str">
        <x:v>多点非对称加载</x:v>
      </x:c>
      <x:c r="H10" s="19" t="str">
        <x:v>L2</x:v>
      </x:c>
      <x:c r="I10" s="6" t="str">
        <x:v>两个数值和作用点不能串用；反力不具有对称性。</x:v>
      </x:c>
      <x:c r="J10" s="19" t="str">
        <x:v>中文</x:v>
      </x:c>
      <x:c r="K10" s="6" t="str">
        <x:v>完整文字任务 + 随题分析属性表（待编制）</x:v>
      </x:c>
      <x:c r="L10" s="23" t="n">
        <x:v>1</x:v>
      </x:c>
      <x:c r="M10" s="6" t="str">
        <x:v>跨度10m，x=2m向下30kN、x=7m向下45kN，左铰右滚；完整属性按公共契约随题给出。 两处集中力分别以坐标和节点标签双重标识，其余节点不加载。</x:v>
      </x:c>
      <x:c r="N10" s="6" t="str">
        <x:v>两个荷载位置和数值不可串用</x:v>
      </x:c>
      <x:c r="O10" s="6" t="str">
        <x:v>两支反力、两个力点竖向位移及各力点截面弯矩。</x:v>
      </x:c>
      <x:c r="P10" s="6" t="str">
        <x:v>两个荷载位置和数值不可串用；指定位置/分量对照数值真值，输出文字与结构化结果保持符号、单位和工况一致。</x:v>
      </x:c>
      <x:c r="Q10" s="19" t="str">
        <x:v>新增</x:v>
      </x:c>
      <x:c r="R10" s="6" t="str">
        <x:v>无</x:v>
      </x:c>
      <x:c r="S10" s="6" t="str">
        <x:v>无</x:v>
      </x:c>
      <x:c r="T10" s="6" t="str">
        <x:v>新增工程场景；母模型、提示词和真值均待建立。</x:v>
      </x:c>
      <x:c r="U10" s="6" t="str">
        <x:v>拟建立独立审定的 OpenSees 模型及同版本/同设置参考结果；两组集中力解析叠加；分别检查两个剪力跳跃与总体力矩平衡。 参考值尚未生成。 所有题定输出均须覆盖，校核实现不复用被测转换链路。</x:v>
      </x:c>
      <x:c r="V10" s="6" t="str">
        <x:v>基础工具；完整题面、参数/单位契约与真值待验证</x:v>
      </x:c>
      <x:c r="W10" s="6" t="str">
        <x:v>规划，待编题与验证</x:v>
      </x:c>
      <x:c r="X10" s="6" t="str">
        <x:v>OpenSees</x:v>
      </x:c>
      <x:c r="Y10" s="19" t="str">
        <x:v>OpenSees</x:v>
      </x:c>
      <x:c r="Z10" s="6" t="str">
        <x:v>单根梁的边界、载荷与截面响应核验，采用 OpenSees 一般杆系求解。 本题重点：两个荷载位置和数值不可串用。</x:v>
      </x:c>
      <x:c r="AA10" s="6" t="str">
        <x:v>拟要求真实 OpenSees 求解，保存输入与原始结果的对应关系；解析式/独立矩阵解用于校核，不能替代规定引擎执行证据。</x:v>
      </x:c>
      <x:c r="AB10" s="6" t="str">
        <x:v>待逐题验证</x:v>
      </x:c>
      <x:c r="AC10" s="6" t="str">
        <x:v>逐题核验两个荷载位置和数值不可串用；输入、结果分量/位置及数值标答尚未完成验收。 当前无据认定接口不支持；需实际能力测试后确定，不将未验证能力记为模型失败。</x:v>
      </x:c>
      <x:c r="AD1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0" s="6" t="str">
        <x:v>拟保存（尚未生成）：OpenSees 版本、可运行模型/脚本、节点构件和荷载表、实际计算日志、原始结果与工况索引、平衡/独立解校核记录。</x:v>
      </x:c>
      <x:c r="AF10" s="6" t="str">
        <x:v>OPS；COMMON</x:v>
      </x:c>
    </x:row>
    <x:row r="11" ht="67.5" customHeight="1">
      <x:c r="A11" s="14" t="str">
        <x:v>STD-010</x:v>
      </x:c>
      <x:c r="B11" s="11" t="str">
        <x:v>标准工作流</x:v>
      </x:c>
      <x:c r="C11" s="18" t="str">
        <x:v>M-STD-010</x:v>
      </x:c>
      <x:c r="D11" s="11" t="str">
        <x:v>两端固支梁分组荷载</x:v>
      </x:c>
      <x:c r="E11" s="11" t="str">
        <x:v>梁</x:v>
      </x:c>
      <x:c r="F11" s="18" t="str">
        <x:v>2D</x:v>
      </x:c>
      <x:c r="G11" s="11" t="str">
        <x:v>固支边界与分工况</x:v>
      </x:c>
      <x:c r="H11" s="18" t="str">
        <x:v>L2</x:v>
      </x:c>
      <x:c r="I11" s="11" t="str">
        <x:v>双固支与局部活载同时存在；要保留工况分离。</x:v>
      </x:c>
      <x:c r="J11" s="18" t="str">
        <x:v>英文</x:v>
      </x:c>
      <x:c r="K11" s="11" t="str">
        <x:v>完整文字任务 + 随题分析属性表（待编制）</x:v>
      </x:c>
      <x:c r="L11" s="22" t="n">
        <x:v>1</x:v>
      </x:c>
      <x:c r="M11" s="11" t="str">
        <x:v>跨度8m，两端固支，D为全跨8kN/m，L仅左半跨6kN/m；完整属性按公共契约随题给出。 单独求D、L及D+L；端部平移与转动均固定，x=4m为活载边界。</x:v>
      </x:c>
      <x:c r="N11" s="11" t="str">
        <x:v>边界约束与荷载工况分离</x:v>
      </x:c>
      <x:c r="O11" s="11" t="str">
        <x:v>每工况两端反力/弯矩、跨中竖向位移，D+L结果对照。</x:v>
      </x:c>
      <x:c r="P11" s="11" t="str">
        <x:v>边界约束与荷载工况分离；指定位置/分量对照数值真值，输出文字与结构化结果保持符号、单位和工况一致。</x:v>
      </x:c>
      <x:c r="Q11" s="18" t="str">
        <x:v>新增</x:v>
      </x:c>
      <x:c r="R11" s="11" t="str">
        <x:v>无</x:v>
      </x:c>
      <x:c r="S11" s="11" t="str">
        <x:v>无</x:v>
      </x:c>
      <x:c r="T11" s="11" t="str">
        <x:v>新增工程场景；母模型、提示词和真值均待建立。</x:v>
      </x:c>
      <x:c r="U11" s="11" t="str">
        <x:v>拟建立独立审定的 OpenSees 模型及同版本/同设置参考结果；固定端梁分段荷载解析/独立刚度法；检验D+L线性叠加。 参考值尚未生成。 所有题定输出均须覆盖，校核实现不复用被测转换链路。</x:v>
      </x:c>
      <x:c r="V11" s="11" t="str">
        <x:v>多工况/多组合执行及结果索引需验证；完整题面、参数/单位契约与真值待验证</x:v>
      </x:c>
      <x:c r="W11" s="11" t="str">
        <x:v>规划，待编题与验证</x:v>
      </x:c>
      <x:c r="X11" s="11" t="str">
        <x:v>OpenSees</x:v>
      </x:c>
      <x:c r="Y11" s="18" t="str">
        <x:v>OpenSees</x:v>
      </x:c>
      <x:c r="Z11" s="11" t="str">
        <x:v>单根梁的边界、载荷与截面响应核验，采用 OpenSees 一般杆系求解。 本题重点：边界约束与荷载工况分离。</x:v>
      </x:c>
      <x:c r="AA11" s="11" t="str">
        <x:v>拟要求真实 OpenSees 求解，保存输入与原始结果的对应关系；解析式/独立矩阵解用于校核，不能替代规定引擎执行证据。</x:v>
      </x:c>
      <x:c r="AB11" s="11" t="str">
        <x:v>待逐题验证</x:v>
      </x:c>
      <x:c r="AC11" s="11" t="str">
        <x:v>D、L、D+L 独立运行与组合结果索引须验证。 当前无据认定接口不支持；需实际能力测试后确定，不将未验证能力记为模型失败。</x:v>
      </x:c>
      <x:c r="AD1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1" s="11" t="str">
        <x:v>拟保存（尚未生成）：OpenSees 版本、可运行模型/脚本、节点构件和荷载表、实际计算日志、原始结果与工况索引、平衡/独立解校核记录。</x:v>
      </x:c>
      <x:c r="AF11" s="11" t="str">
        <x:v>OPS；COMMON</x:v>
      </x:c>
    </x:row>
    <x:row r="12" ht="67.5" customHeight="1">
      <x:c r="A12" s="15" t="str">
        <x:v>STD-011</x:v>
      </x:c>
      <x:c r="B12" s="6" t="str">
        <x:v>标准工作流</x:v>
      </x:c>
      <x:c r="C12" s="19" t="str">
        <x:v>M-STD-011</x:v>
      </x:c>
      <x:c r="D12" s="6" t="str">
        <x:v>撑杆式支承的超静定梁</x:v>
      </x:c>
      <x:c r="E12" s="6" t="str">
        <x:v>梁</x:v>
      </x:c>
      <x:c r="F12" s="19" t="str">
        <x:v>2D</x:v>
      </x:c>
      <x:c r="G12" s="6" t="str">
        <x:v>撑杆支承超静定梁</x:v>
      </x:c>
      <x:c r="H12" s="19" t="str">
        <x:v>L2</x:v>
      </x:c>
      <x:c r="I12" s="6" t="str">
        <x:v>左固右滚与普通简支不同，附加集中力使约束误读难以察觉。</x:v>
      </x:c>
      <x:c r="J12" s="19" t="str">
        <x:v>中文</x:v>
      </x:c>
      <x:c r="K12" s="6" t="str">
        <x:v>完整文字任务 + 随题分析属性表（待编制）</x:v>
      </x:c>
      <x:c r="L12" s="23" t="n">
        <x:v>1</x:v>
      </x:c>
      <x:c r="M12" s="6" t="str">
        <x:v>跨度7m，左固支右竖向滚支，全跨10kN/m，x=5m处20kN；完整属性按公共契约随题给出。 右支座仅限制竖向位移，保留转角自由；x=5m设集中力节点。</x:v>
      </x:c>
      <x:c r="N12" s="6" t="str">
        <x:v>固支加滚支不能误作普通简支</x:v>
      </x:c>
      <x:c r="O12" s="6" t="str">
        <x:v>左固端反力/弯矩、右竖向反力、x=5m和跨中位移。</x:v>
      </x:c>
      <x:c r="P12" s="6" t="str">
        <x:v>固支加滚支不能误作普通简支；指定位置/分量对照数值真值，输出文字与结构化结果保持符号、单位和工况一致。</x:v>
      </x:c>
      <x:c r="Q12" s="19" t="str">
        <x:v>新增</x:v>
      </x:c>
      <x:c r="R12" s="6" t="str">
        <x:v>无</x:v>
      </x:c>
      <x:c r="S12" s="6" t="str">
        <x:v>无</x:v>
      </x:c>
      <x:c r="T12" s="6" t="str">
        <x:v>新增工程场景；母模型、提示词和真值均待建立。</x:v>
      </x:c>
      <x:c r="U12" s="6" t="str">
        <x:v>拟建立独立审定的 OpenSees 模型及同版本/同设置参考结果；力法以右端竖向位移为相容条件，独立核对反力与位移。 参考值尚未生成。 所有题定输出均须覆盖，校核实现不复用被测转换链路。</x:v>
      </x:c>
      <x:c r="V12" s="6" t="str">
        <x:v>基础工具；完整题面、参数/单位契约与真值待验证</x:v>
      </x:c>
      <x:c r="W12" s="6" t="str">
        <x:v>规划，待编题与验证</x:v>
      </x:c>
      <x:c r="X12" s="6" t="str">
        <x:v>OpenSees</x:v>
      </x:c>
      <x:c r="Y12" s="19" t="str">
        <x:v>OpenSees</x:v>
      </x:c>
      <x:c r="Z12" s="6" t="str">
        <x:v>单根梁的边界、载荷与截面响应核验，采用 OpenSees 一般杆系求解。 本题重点：固支加滚支不能误作普通简支。</x:v>
      </x:c>
      <x:c r="AA12" s="6" t="str">
        <x:v>拟要求真实 OpenSees 求解，保存输入与原始结果的对应关系；解析式/独立矩阵解用于校核，不能替代规定引擎执行证据。</x:v>
      </x:c>
      <x:c r="AB12" s="6" t="str">
        <x:v>待逐题验证</x:v>
      </x:c>
      <x:c r="AC12" s="6" t="str">
        <x:v>逐题核验固支加滚支不能误作普通简支；输入、结果分量/位置及数值标答尚未完成验收。 当前无据认定接口不支持；需实际能力测试后确定，不将未验证能力记为模型失败。</x:v>
      </x:c>
      <x:c r="AD12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2" s="6" t="str">
        <x:v>拟保存（尚未生成）：OpenSees 版本、可运行模型/脚本、节点构件和荷载表、实际计算日志、原始结果与工况索引、平衡/独立解校核记录。</x:v>
      </x:c>
      <x:c r="AF12" s="6" t="str">
        <x:v>OPS；COMMON</x:v>
      </x:c>
    </x:row>
    <x:row r="13" ht="67.5" customHeight="1">
      <x:c r="A13" s="14" t="str">
        <x:v>STD-012</x:v>
      </x:c>
      <x:c r="B13" s="11" t="str">
        <x:v>标准工作流</x:v>
      </x:c>
      <x:c r="C13" s="18" t="str">
        <x:v>M-STD-012</x:v>
      </x:c>
      <x:c r="D13" s="11" t="str">
        <x:v>倾斜直梁全局竖向加载</x:v>
      </x:c>
      <x:c r="E13" s="11" t="str">
        <x:v>梁</x:v>
      </x:c>
      <x:c r="F13" s="18" t="str">
        <x:v>2D</x:v>
      </x:c>
      <x:c r="G13" s="11" t="str">
        <x:v>斜杆坐标与全局荷载</x:v>
      </x:c>
      <x:c r="H13" s="18" t="str">
        <x:v>L2</x:v>
      </x:c>
      <x:c r="I13" s="11" t="str">
        <x:v>必须同时处理斜杆几何、全局力方向与局部轴，不可把竖载当纯横载。</x:v>
      </x:c>
      <x:c r="J13" s="18" t="str">
        <x:v>英文</x:v>
      </x:c>
      <x:c r="K13" s="11" t="str">
        <x:v>完整文字任务 + 随题分析属性表（待编制）</x:v>
      </x:c>
      <x:c r="L13" s="22" t="n">
        <x:v>1</x:v>
      </x:c>
      <x:c r="M13" s="11" t="str">
        <x:v>端点(0,0)和(6,3)m，左固支右自由，按水平投影位置给一个竖直集中力；完整属性按公共契约随题给出。 全局X水平、Z向上；在水平投影x=3m即杆中点(3,1.5)m施加向下20kN。</x:v>
      </x:c>
      <x:c r="N13" s="11" t="str">
        <x:v>全局方向与杆件方向的区别</x:v>
      </x:c>
      <x:c r="O13" s="11" t="str">
        <x:v>力点及自由端的全局X/Z位移、固端反力/弯矩和杆轴力。</x:v>
      </x:c>
      <x:c r="P13" s="11" t="str">
        <x:v>全局方向与杆件方向的区别；指定位置/分量对照数值真值，输出文字与结构化结果保持符号、单位和工况一致。</x:v>
      </x:c>
      <x:c r="Q13" s="18" t="str">
        <x:v>新增</x:v>
      </x:c>
      <x:c r="R13" s="11" t="str">
        <x:v>无</x:v>
      </x:c>
      <x:c r="S13" s="11" t="str">
        <x:v>无</x:v>
      </x:c>
      <x:c r="T13" s="11" t="str">
        <x:v>新增工程场景；母模型、提示词和真值均待建立。</x:v>
      </x:c>
      <x:c r="U13" s="11" t="str">
        <x:v>拟建立独立审定的 OpenSees 模型及同版本/同设置参考结果；局部轴向/弯曲解析分解后转回全局；核对全局合力与力矩。 参考值尚未生成。 所有题定输出均须覆盖，校核实现不复用被测转换链路。</x:v>
      </x:c>
      <x:c r="V13" s="11" t="str">
        <x:v>斜杆荷载与局部轴需验证；完整题面、参数/单位契约与真值待验证</x:v>
      </x:c>
      <x:c r="W13" s="11" t="str">
        <x:v>规划，待编题与验证</x:v>
      </x:c>
      <x:c r="X13" s="11" t="str">
        <x:v>OpenSees</x:v>
      </x:c>
      <x:c r="Y13" s="18" t="str">
        <x:v>OpenSees</x:v>
      </x:c>
      <x:c r="Z13" s="11" t="str">
        <x:v>单根梁的边界、载荷与截面响应核验，采用 OpenSees 一般杆系求解。 本题重点：全局方向与杆件方向的区别。</x:v>
      </x:c>
      <x:c r="AA13" s="11" t="str">
        <x:v>拟要求真实 OpenSees 求解，保存输入与原始结果的对应关系；解析式/独立矩阵解用于校核，不能替代规定引擎执行证据。</x:v>
      </x:c>
      <x:c r="AB13" s="11" t="str">
        <x:v>待逐题验证</x:v>
      </x:c>
      <x:c r="AC13" s="11" t="str">
        <x:v>斜杆真实坐标、全局竖向力到局部轴分解须验证。 当前无据认定接口不支持；需实际能力测试后确定，不将未验证能力记为模型失败。</x:v>
      </x:c>
      <x:c r="AD1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3" s="11" t="str">
        <x:v>拟保存（尚未生成）：OpenSees 版本、可运行模型/脚本、节点构件和荷载表、实际计算日志、原始结果与工况索引、平衡/独立解校核记录。</x:v>
      </x:c>
      <x:c r="AF13" s="11" t="str">
        <x:v>OPS；COMMON</x:v>
      </x:c>
    </x:row>
    <x:row r="14" ht="67.5" customHeight="1">
      <x:c r="A14" s="15" t="str">
        <x:v>STD-013</x:v>
      </x:c>
      <x:c r="B14" s="6" t="str">
        <x:v>标准工作流</x:v>
      </x:c>
      <x:c r="C14" s="19" t="str">
        <x:v>M-STD-013</x:v>
      </x:c>
      <x:c r="D14" s="6" t="str">
        <x:v>三段截面不同的简支梁</x:v>
      </x:c>
      <x:c r="E14" s="6" t="str">
        <x:v>梁</x:v>
      </x:c>
      <x:c r="F14" s="19" t="str">
        <x:v>2D</x:v>
      </x:c>
      <x:c r="G14" s="6" t="str">
        <x:v>分段截面连续性</x:v>
      </x:c>
      <x:c r="H14" s="19" t="str">
        <x:v>L2</x:v>
      </x:c>
      <x:c r="I14" s="6" t="str">
        <x:v>截面改变但节点连续；不能拆成三根独立简支梁。</x:v>
      </x:c>
      <x:c r="J14" s="19" t="str">
        <x:v>中文</x:v>
      </x:c>
      <x:c r="K14" s="6" t="str">
        <x:v>完整文字任务 + 随题分析属性表（待编制）</x:v>
      </x:c>
      <x:c r="L14" s="23" t="n">
        <x:v>1</x:v>
      </x:c>
      <x:c r="M14" s="6" t="str">
        <x:v>跨度9m，0至3m用B1、3至6m用B2、6至9m用B3，向下12kN/m；完整属性按公共契约随题给出。 三个截面A/I数值逐项提供；x=3m、6m共享节点，设置跨中观测点。</x:v>
      </x:c>
      <x:c r="N14" s="6" t="str">
        <x:v>分段截面赋值和共节点连续性</x:v>
      </x:c>
      <x:c r="O14" s="6" t="str">
        <x:v>跨中及两截面分界位移、两支反力和分界截面弯矩。</x:v>
      </x:c>
      <x:c r="P14" s="6" t="str">
        <x:v>分段截面赋值和共节点连续性；指定位置/分量对照数值真值，输出文字与结构化结果保持符号、单位和工况一致。</x:v>
      </x:c>
      <x:c r="Q14" s="19" t="str">
        <x:v>新增</x:v>
      </x:c>
      <x:c r="R14" s="6" t="str">
        <x:v>无</x:v>
      </x:c>
      <x:c r="S14" s="6" t="str">
        <x:v>无</x:v>
      </x:c>
      <x:c r="T14" s="6" t="str">
        <x:v>新增工程场景；母模型、提示词和真值均待建立。</x:v>
      </x:c>
      <x:c r="U14" s="6" t="str">
        <x:v>拟建立独立审定的 OpenSees 模型及同版本/同设置参考结果；分段EI积分/单位荷载法；检查界面位移/转角连续和力平衡。 参考值尚未生成。 所有题定输出均须覆盖，校核实现不复用被测转换链路。</x:v>
      </x:c>
      <x:c r="V14" s="6" t="str">
        <x:v>基础工具；完整题面、参数/单位契约与真值待验证</x:v>
      </x:c>
      <x:c r="W14" s="6" t="str">
        <x:v>规划，待编题与验证</x:v>
      </x:c>
      <x:c r="X14" s="6" t="str">
        <x:v>OpenSees</x:v>
      </x:c>
      <x:c r="Y14" s="19" t="str">
        <x:v>OpenSees</x:v>
      </x:c>
      <x:c r="Z14" s="6" t="str">
        <x:v>单根梁的边界、载荷与截面响应核验，采用 OpenSees 一般杆系求解。 本题重点：分段截面赋值和共节点连续性。</x:v>
      </x:c>
      <x:c r="AA14" s="6" t="str">
        <x:v>拟要求真实 OpenSees 求解，保存输入与原始结果的对应关系；解析式/独立矩阵解用于校核，不能替代规定引擎执行证据。</x:v>
      </x:c>
      <x:c r="AB14" s="6" t="str">
        <x:v>待逐题验证</x:v>
      </x:c>
      <x:c r="AC14" s="6" t="str">
        <x:v>逐段截面、共节点连续性及分界截面输出须验收。 当前无据认定接口不支持；需实际能力测试后确定，不将未验证能力记为模型失败。</x:v>
      </x:c>
      <x:c r="AD1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4" s="6" t="str">
        <x:v>拟保存（尚未生成）：OpenSees 版本、可运行模型/脚本、节点构件和荷载表、实际计算日志、原始结果与工况索引、平衡/独立解校核记录。</x:v>
      </x:c>
      <x:c r="AF14" s="6" t="str">
        <x:v>OPS；COMMON</x:v>
      </x:c>
    </x:row>
    <x:row r="15" ht="67.5" customHeight="1">
      <x:c r="A15" s="14" t="str">
        <x:v>STD-014</x:v>
      </x:c>
      <x:c r="B15" s="11" t="str">
        <x:v>标准工作流</x:v>
      </x:c>
      <x:c r="C15" s="18" t="str">
        <x:v>M-STD-014</x:v>
      </x:c>
      <x:c r="D15" s="11" t="str">
        <x:v>分段材料与局部载荷梁</x:v>
      </x:c>
      <x:c r="E15" s="11" t="str">
        <x:v>梁</x:v>
      </x:c>
      <x:c r="F15" s="18" t="str">
        <x:v>2D</x:v>
      </x:c>
      <x:c r="G15" s="11" t="str">
        <x:v>材料分区与荷载重叠</x:v>
      </x:c>
      <x:c r="H15" s="18" t="str">
        <x:v>L3</x:v>
      </x:c>
      <x:c r="I15" s="11" t="str">
        <x:v>材料、荷载边界和点载位置交错，需把多个分区联合映射到同一拓扑。</x:v>
      </x:c>
      <x:c r="J15" s="18" t="str">
        <x:v>英文</x:v>
      </x:c>
      <x:c r="K15" s="11" t="str">
        <x:v>完整文字任务 + 随题分析属性表（待编制）</x:v>
      </x:c>
      <x:c r="L15" s="22" t="n">
        <x:v>1</x:v>
      </x:c>
      <x:c r="M15" s="11" t="str">
        <x:v>跨度10m，x=4m处分材料组，x=2至8m向下9kN/m，x=6m处25kN；完整属性按公共契约随题给出。 材料界面x=4m；荷载边界x=2/8m；点载在x=6m，截面记录明确。</x:v>
      </x:c>
      <x:c r="N15" s="11" t="str">
        <x:v>材料、分段、点载和加载区间需联合映射</x:v>
      </x:c>
      <x:c r="O15" s="11" t="str">
        <x:v>x=4/6m竖向位移、两支反力、点载截面弯矩及材料分配表。</x:v>
      </x:c>
      <x:c r="P15" s="11" t="str">
        <x:v>材料、分段、点载和加载区间需联合映射；指定位置/分量对照数值真值，输出文字与结构化结果保持符号、单位和工况一致。</x:v>
      </x:c>
      <x:c r="Q15" s="18" t="str">
        <x:v>新增</x:v>
      </x:c>
      <x:c r="R15" s="11" t="str">
        <x:v>无</x:v>
      </x:c>
      <x:c r="S15" s="11" t="str">
        <x:v>无</x:v>
      </x:c>
      <x:c r="T15" s="11" t="str">
        <x:v>新增工程场景；母模型、提示词和真值均待建立。</x:v>
      </x:c>
      <x:c r="U15" s="11" t="str">
        <x:v>拟建立独立审定的 OpenSees 模型及同版本/同设置参考结果；分段EA/EI独立刚度法加单位荷载位移复核；点载跳跃与界面连续检查。 参考值尚未生成。 所有题定输出均须覆盖，校核实现不复用被测转换链路。</x:v>
      </x:c>
      <x:c r="V15" s="11" t="str">
        <x:v>基础工具；完整题面、参数/单位契约与真值待验证</x:v>
      </x:c>
      <x:c r="W15" s="11" t="str">
        <x:v>规划，待编题与验证</x:v>
      </x:c>
      <x:c r="X15" s="11" t="str">
        <x:v>OpenSees</x:v>
      </x:c>
      <x:c r="Y15" s="18" t="str">
        <x:v>OpenSees</x:v>
      </x:c>
      <x:c r="Z15" s="11" t="str">
        <x:v>单根梁的边界、载荷与截面响应核验，采用 OpenSees 一般杆系求解。 本题重点：材料、分段、点载和加载区间需联合映射。</x:v>
      </x:c>
      <x:c r="AA15" s="11" t="str">
        <x:v>拟要求真实 OpenSees 求解，保存输入与原始结果的对应关系；解析式/独立矩阵解用于校核，不能替代规定引擎执行证据。</x:v>
      </x:c>
      <x:c r="AB15" s="11" t="str">
        <x:v>待逐题验证</x:v>
      </x:c>
      <x:c r="AC15" s="11" t="str">
        <x:v>材料界面与加载边界分别分段，逐成员 EA/EI 与集中力位置须验收。 当前无据认定接口不支持；需实际能力测试后确定，不将未验证能力记为模型失败。</x:v>
      </x:c>
      <x:c r="AD1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5" s="11" t="str">
        <x:v>拟保存（尚未生成）：OpenSees 版本、可运行模型/脚本、节点构件和荷载表、实际计算日志、原始结果与工况索引、平衡/独立解校核记录。</x:v>
      </x:c>
      <x:c r="AF15" s="11" t="str">
        <x:v>OPS；COMMON</x:v>
      </x:c>
    </x:row>
    <x:row r="16" ht="67.5" customHeight="1">
      <x:c r="A16" s="15" t="str">
        <x:v>STD-015</x:v>
      </x:c>
      <x:c r="B16" s="6" t="str">
        <x:v>标准工作流</x:v>
      </x:c>
      <x:c r="C16" s="19" t="str">
        <x:v>M-STD-015</x:v>
      </x:c>
      <x:c r="D16" s="6" t="str">
        <x:v>5m加6m双跨连续梁</x:v>
      </x:c>
      <x:c r="E16" s="6" t="str">
        <x:v>连续梁</x:v>
      </x:c>
      <x:c r="F16" s="19" t="str">
        <x:v>2D</x:v>
      </x:c>
      <x:c r="G16" s="6" t="str">
        <x:v>连续支座与整梁连通</x:v>
      </x:c>
      <x:c r="H16" s="19" t="str">
        <x:v>L1</x:v>
      </x:c>
      <x:c r="I16" s="6" t="str">
        <x:v>几何和荷载规则；关键为连续中支座不是内铰。</x:v>
      </x:c>
      <x:c r="J16" s="19" t="str">
        <x:v>中文</x:v>
      </x:c>
      <x:c r="K16" s="6" t="str">
        <x:v>完整文字任务 + 随题分析属性表（待编制）</x:v>
      </x:c>
      <x:c r="L16" s="23" t="n">
        <x:v>1</x:v>
      </x:c>
      <x:c r="M16" s="6" t="str">
        <x:v>支座x=0、5、11m，左铰其余滚支，全梁12kN/m；完整属性按公共契约随题给出。 中支座约束竖向位移，但两跨转角连续；观测x=2.5m、8m。</x:v>
      </x:c>
      <x:c r="N16" s="6" t="str">
        <x:v>中间支座不意味着梁断开</x:v>
      </x:c>
      <x:c r="O16" s="6" t="str">
        <x:v>三支座反力、两跨中位移和中支座弯矩。</x:v>
      </x:c>
      <x:c r="P16" s="6" t="str">
        <x:v>中间支座不意味着梁断开；指定位置/分量对照数值真值，输出文字与结构化结果保持符号、单位和工况一致。</x:v>
      </x:c>
      <x:c r="Q16" s="19" t="str">
        <x:v>旧题改编</x:v>
      </x:c>
      <x:c r="R16" s="6" t="str">
        <x:v>double-span-beam-static</x:v>
      </x:c>
      <x:c r="S16" s="6" t="str">
        <x:v>std-dspan-5-6-gt</x:v>
      </x:c>
      <x:c r="T16" s="6" t="str">
        <x:v>保留旧题主要几何与荷载，显式补齐单位、自重、观测位置和结果评分；新契约下须重新核验真值。</x:v>
      </x:c>
      <x:c r="U16" s="6" t="str">
        <x:v>拟建立独立审定的 OpenSees 模型及同版本/同设置参考结果；三弯矩方程/独立刚度法，配合整体平衡与支座位移约束。 参考值尚未生成。 所有题定输出均须覆盖，校核实现不复用被测转换链路。</x:v>
      </x:c>
      <x:c r="V16" s="6" t="str">
        <x:v>基础工具；完整题面、参数/单位契约与真值待验证</x:v>
      </x:c>
      <x:c r="W16" s="6" t="str">
        <x:v>规划，待编题与验证</x:v>
      </x:c>
      <x:c r="X16" s="6" t="str">
        <x:v>OpenSees</x:v>
      </x:c>
      <x:c r="Y16" s="19" t="str">
        <x:v>OpenSees</x:v>
      </x:c>
      <x:c r="Z16" s="6" t="str">
        <x:v>连续/外伸梁的分跨荷载与刚度响应核验，采用 OpenSees。 本题重点：中间支座不意味着梁断开。</x:v>
      </x:c>
      <x:c r="AA16" s="6" t="str">
        <x:v>拟要求真实 OpenSees 求解，保存输入与原始结果的对应关系；解析式/独立矩阵解用于校核，不能替代规定引擎执行证据。</x:v>
      </x:c>
      <x:c r="AB16" s="6" t="str">
        <x:v>待逐题验证</x:v>
      </x:c>
      <x:c r="AC16" s="6" t="str">
        <x:v>逐题核验中间支座不意味着梁断开；输入、结果分量/位置及数值标答尚未完成验收。 当前无据认定接口不支持；需实际能力测试后确定，不将未验证能力记为模型失败。</x:v>
      </x:c>
      <x:c r="AD1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6" s="6" t="str">
        <x:v>拟保存（尚未生成）：OpenSees 版本、可运行模型/脚本、节点构件和荷载表、实际计算日志、原始结果与工况索引、平衡/独立解校核记录。</x:v>
      </x:c>
      <x:c r="AF16" s="6" t="str">
        <x:v>OPS；COMMON</x:v>
      </x:c>
    </x:row>
    <x:row r="17" ht="67.5" customHeight="1">
      <x:c r="A17" s="14" t="str">
        <x:v>STD-016</x:v>
      </x:c>
      <x:c r="B17" s="11" t="str">
        <x:v>标准工作流</x:v>
      </x:c>
      <x:c r="C17" s="18" t="str">
        <x:v>M-STD-016</x:v>
      </x:c>
      <x:c r="D17" s="11" t="str">
        <x:v>不等跨梁长跨集中力</x:v>
      </x:c>
      <x:c r="E17" s="11" t="str">
        <x:v>连续梁</x:v>
      </x:c>
      <x:c r="F17" s="18" t="str">
        <x:v>2D</x:v>
      </x:c>
      <x:c r="G17" s="11" t="str">
        <x:v>不等跨与长跨点载</x:v>
      </x:c>
      <x:c r="H17" s="18" t="str">
        <x:v>L2</x:v>
      </x:c>
      <x:c r="I17" s="11" t="str">
        <x:v>需要跨长累加和局部到全局定位，同时保留跨间连续。</x:v>
      </x:c>
      <x:c r="J17" s="18" t="str">
        <x:v>英文</x:v>
      </x:c>
      <x:c r="K17" s="11" t="str">
        <x:v>完整文字任务 + 随题分析属性表（待编制）</x:v>
      </x:c>
      <x:c r="L17" s="22" t="n">
        <x:v>1</x:v>
      </x:c>
      <x:c r="M17" s="11" t="str">
        <x:v>跨度4m和7m，全跨10kN/m，长跨中点30kN；完整属性按公共契约随题给出。 长跨中点为全局x=7.5m，不能按全长中点布置点载。</x:v>
      </x:c>
      <x:c r="N17" s="11" t="str">
        <x:v>长跨局部坐标换算与连续支座</x:v>
      </x:c>
      <x:c r="O17" s="11" t="str">
        <x:v>三支反力、x=2m和7.5m位移、中支座弯矩。</x:v>
      </x:c>
      <x:c r="P17" s="11" t="str">
        <x:v>长跨局部坐标换算与连续支座；指定位置/分量对照数值真值，输出文字与结构化结果保持符号、单位和工况一致。</x:v>
      </x:c>
      <x:c r="Q17" s="18" t="str">
        <x:v>旧题改编</x:v>
      </x:c>
      <x:c r="R17" s="11" t="str">
        <x:v>double-span-beam-unequal</x:v>
      </x:c>
      <x:c r="S17" s="11" t="str">
        <x:v>无</x:v>
      </x:c>
      <x:c r="T17" s="11" t="str">
        <x:v>保留旧题主要几何与荷载，显式补齐单位、自重、观测位置和结果评分；新契约下须重新核验真值。</x:v>
      </x:c>
      <x:c r="U17" s="11" t="str">
        <x:v>拟建立独立审定的 OpenSees 模型及同版本/同设置参考结果；连续梁独立刚度法及单位荷载位移法；力点剪力跳跃复核。 参考值尚未生成。 所有题定输出均须覆盖，校核实现不复用被测转换链路。</x:v>
      </x:c>
      <x:c r="V17" s="11" t="str">
        <x:v>基础工具；完整题面、参数/单位契约与真值待验证</x:v>
      </x:c>
      <x:c r="W17" s="11" t="str">
        <x:v>规划，待编题与验证</x:v>
      </x:c>
      <x:c r="X17" s="11" t="str">
        <x:v>OpenSees</x:v>
      </x:c>
      <x:c r="Y17" s="18" t="str">
        <x:v>OpenSees</x:v>
      </x:c>
      <x:c r="Z17" s="11" t="str">
        <x:v>连续/外伸梁的分跨荷载与刚度响应核验，采用 OpenSees。 本题重点：长跨局部坐标换算与连续支座。</x:v>
      </x:c>
      <x:c r="AA17" s="11" t="str">
        <x:v>拟要求真实 OpenSees 求解，保存输入与原始结果的对应关系；解析式/独立矩阵解用于校核，不能替代规定引擎执行证据。</x:v>
      </x:c>
      <x:c r="AB17" s="11" t="str">
        <x:v>待逐题验证</x:v>
      </x:c>
      <x:c r="AC17" s="11" t="str">
        <x:v>逐题核验长跨局部坐标换算与连续支座；输入、结果分量/位置及数值标答尚未完成验收。 当前无据认定接口不支持；需实际能力测试后确定，不将未验证能力记为模型失败。</x:v>
      </x:c>
      <x:c r="AD1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7" s="11" t="str">
        <x:v>拟保存（尚未生成）：OpenSees 版本、可运行模型/脚本、节点构件和荷载表、实际计算日志、原始结果与工况索引、平衡/独立解校核记录。</x:v>
      </x:c>
      <x:c r="AF17" s="11" t="str">
        <x:v>OPS；COMMON</x:v>
      </x:c>
    </x:row>
    <x:row r="18" ht="67.5" customHeight="1">
      <x:c r="A18" s="15" t="str">
        <x:v>STD-017</x:v>
      </x:c>
      <x:c r="B18" s="6" t="str">
        <x:v>标准工作流</x:v>
      </x:c>
      <x:c r="C18" s="19" t="str">
        <x:v>M-STD-017</x:v>
      </x:c>
      <x:c r="D18" s="6" t="str">
        <x:v>4m加5m加4m三跨梁</x:v>
      </x:c>
      <x:c r="E18" s="6" t="str">
        <x:v>连续梁</x:v>
      </x:c>
      <x:c r="F18" s="19" t="str">
        <x:v>2D</x:v>
      </x:c>
      <x:c r="G18" s="6" t="str">
        <x:v>多跨连续拓扑</x:v>
      </x:c>
      <x:c r="H18" s="19" t="str">
        <x:v>L2</x:v>
      </x:c>
      <x:c r="I18" s="6" t="str">
        <x:v>多跨累积坐标与相邻单元连续性需一致，并非仅增加节点数。</x:v>
      </x:c>
      <x:c r="J18" s="19" t="str">
        <x:v>中文</x:v>
      </x:c>
      <x:c r="K18" s="6" t="str">
        <x:v>完整文字任务 + 随题分析属性表（待编制）</x:v>
      </x:c>
      <x:c r="L18" s="23" t="n">
        <x:v>1</x:v>
      </x:c>
      <x:c r="M18" s="6" t="str">
        <x:v>支座x=0、4、9、13m，全跨15kN/m，左铰其余滚支；完整属性按公共契约随题给出。 按全局x=0/4/9/13m布支座，所有支座处梁连续，观测各跨中。</x:v>
      </x:c>
      <x:c r="N18" s="6" t="str">
        <x:v>三跨连通和四支座约束</x:v>
      </x:c>
      <x:c r="O18" s="6" t="str">
        <x:v>四支反力、三跨中位移及两个中支座弯矩。</x:v>
      </x:c>
      <x:c r="P18" s="6" t="str">
        <x:v>三跨连通和四支座约束；指定位置/分量对照数值真值，输出文字与结构化结果保持符号、单位和工况一致。</x:v>
      </x:c>
      <x:c r="Q18" s="19" t="str">
        <x:v>旧题改编</x:v>
      </x:c>
      <x:c r="R18" s="6" t="str">
        <x:v>three-span-continuous-beam-static</x:v>
      </x:c>
      <x:c r="S18" s="6" t="str">
        <x:v>std-dspan-3span-gt</x:v>
      </x:c>
      <x:c r="T18" s="6" t="str">
        <x:v>保留旧题主要几何与荷载，显式补齐单位、自重、观测位置和结果评分；新契约下须重新核验真值。</x:v>
      </x:c>
      <x:c r="U18" s="6" t="str">
        <x:v>拟建立独立审定的 OpenSees 模型及同版本/同设置参考结果；三弯矩方程复核支座弯矩；独立单位荷载法复核跨中位移。 参考值尚未生成。 所有题定输出均须覆盖，校核实现不复用被测转换链路。</x:v>
      </x:c>
      <x:c r="V18" s="6" t="str">
        <x:v>基础工具；完整题面、参数/单位契约与真值待验证</x:v>
      </x:c>
      <x:c r="W18" s="6" t="str">
        <x:v>规划，待编题与验证</x:v>
      </x:c>
      <x:c r="X18" s="6" t="str">
        <x:v>OpenSees</x:v>
      </x:c>
      <x:c r="Y18" s="19" t="str">
        <x:v>OpenSees</x:v>
      </x:c>
      <x:c r="Z18" s="6" t="str">
        <x:v>连续/外伸梁的分跨荷载与刚度响应核验，采用 OpenSees。 本题重点：三跨连通和四支座约束。</x:v>
      </x:c>
      <x:c r="AA18" s="6" t="str">
        <x:v>拟要求真实 OpenSees 求解，保存输入与原始结果的对应关系；解析式/独立矩阵解用于校核，不能替代规定引擎执行证据。</x:v>
      </x:c>
      <x:c r="AB18" s="6" t="str">
        <x:v>待逐题验证</x:v>
      </x:c>
      <x:c r="AC18" s="6" t="str">
        <x:v>逐题核验三跨连通和四支座约束；输入、结果分量/位置及数值标答尚未完成验收。 当前无据认定接口不支持；需实际能力测试后确定，不将未验证能力记为模型失败。</x:v>
      </x:c>
      <x:c r="AD1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8" s="6" t="str">
        <x:v>拟保存（尚未生成）：OpenSees 版本、可运行模型/脚本、节点构件和荷载表、实际计算日志、原始结果与工况索引、平衡/独立解校核记录。</x:v>
      </x:c>
      <x:c r="AF18" s="6" t="str">
        <x:v>OPS；COMMON</x:v>
      </x:c>
    </x:row>
    <x:row r="19" ht="67.5" customHeight="1">
      <x:c r="A19" s="14" t="str">
        <x:v>STD-018</x:v>
      </x:c>
      <x:c r="B19" s="11" t="str">
        <x:v>标准工作流</x:v>
      </x:c>
      <x:c r="C19" s="18" t="str">
        <x:v>M-STD-018</x:v>
      </x:c>
      <x:c r="D19" s="11" t="str">
        <x:v>双跨梁仅第一跨加载</x:v>
      </x:c>
      <x:c r="E19" s="11" t="str">
        <x:v>连续梁</x:v>
      </x:c>
      <x:c r="F19" s="18" t="str">
        <x:v>2D</x:v>
      </x:c>
      <x:c r="G19" s="11" t="str">
        <x:v>非对称分跨加载</x:v>
      </x:c>
      <x:c r="H19" s="18" t="str">
        <x:v>L2</x:v>
      </x:c>
      <x:c r="I19" s="11" t="str">
        <x:v>需保留无载跨的刚度和内力传递，避免按荷载删除几何。</x:v>
      </x:c>
      <x:c r="J19" s="18" t="str">
        <x:v>英文</x:v>
      </x:c>
      <x:c r="K19" s="11" t="str">
        <x:v>完整文字任务 + 随题分析属性表（待编制）</x:v>
      </x:c>
      <x:c r="L19" s="22" t="n">
        <x:v>1</x:v>
      </x:c>
      <x:c r="M19" s="11" t="str">
        <x:v>跨度5m和7m，只第一跨向下16kN/m；完整属性按公共契约随题给出。 第二跨无外加荷载但保留完整构件和约束，设置两跨中观测点。</x:v>
      </x:c>
      <x:c r="N19" s="11" t="str">
        <x:v>无载跨不能补载或删除</x:v>
      </x:c>
      <x:c r="O19" s="11" t="str">
        <x:v>三支反力、两跨中位移、中支座弯矩，注明无载跨仍有响应。</x:v>
      </x:c>
      <x:c r="P19" s="11" t="str">
        <x:v>无载跨不能补载或删除；指定位置/分量对照数值真值，输出文字与结构化结果保持符号、单位和工况一致。</x:v>
      </x:c>
      <x:c r="Q19" s="18" t="str">
        <x:v>新增</x:v>
      </x:c>
      <x:c r="R19" s="11" t="str">
        <x:v>无</x:v>
      </x:c>
      <x:c r="S19" s="11" t="str">
        <x:v>无</x:v>
      </x:c>
      <x:c r="T19" s="11" t="str">
        <x:v>新增工程场景；母模型、提示词和真值均待建立。</x:v>
      </x:c>
      <x:c r="U19" s="11" t="str">
        <x:v>拟建立独立审定的 OpenSees 模型及同版本/同设置参考结果；三弯矩法与分跨载荷总量复核；检查无载跨内力的连续性。 参考值尚未生成。 所有题定输出均须覆盖，校核实现不复用被测转换链路。</x:v>
      </x:c>
      <x:c r="V19" s="11" t="str">
        <x:v>基础工具；完整题面、参数/单位契约与真值待验证</x:v>
      </x:c>
      <x:c r="W19" s="11" t="str">
        <x:v>规划，待编题与验证</x:v>
      </x:c>
      <x:c r="X19" s="11" t="str">
        <x:v>OpenSees</x:v>
      </x:c>
      <x:c r="Y19" s="18" t="str">
        <x:v>OpenSees</x:v>
      </x:c>
      <x:c r="Z19" s="11" t="str">
        <x:v>连续/外伸梁的分跨荷载与刚度响应核验，采用 OpenSees。 本题重点：无载跨不能补载或删除。</x:v>
      </x:c>
      <x:c r="AA19" s="11" t="str">
        <x:v>拟要求真实 OpenSees 求解，保存输入与原始结果的对应关系；解析式/独立矩阵解用于校核，不能替代规定引擎执行证据。</x:v>
      </x:c>
      <x:c r="AB19" s="11" t="str">
        <x:v>待逐题验证</x:v>
      </x:c>
      <x:c r="AC19" s="11" t="str">
        <x:v>逐题核验无载跨不能补载或删除；输入、结果分量/位置及数值标答尚未完成验收。 当前无据认定接口不支持；需实际能力测试后确定，不将未验证能力记为模型失败。</x:v>
      </x:c>
      <x:c r="AD1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19" s="11" t="str">
        <x:v>拟保存（尚未生成）：OpenSees 版本、可运行模型/脚本、节点构件和荷载表、实际计算日志、原始结果与工况索引、平衡/独立解校核记录。</x:v>
      </x:c>
      <x:c r="AF19" s="11" t="str">
        <x:v>OPS；COMMON</x:v>
      </x:c>
    </x:row>
    <x:row r="20" ht="67.5" customHeight="1">
      <x:c r="A20" s="15" t="str">
        <x:v>STD-019</x:v>
      </x:c>
      <x:c r="B20" s="6" t="str">
        <x:v>标准工作流</x:v>
      </x:c>
      <x:c r="C20" s="19" t="str">
        <x:v>M-STD-019</x:v>
      </x:c>
      <x:c r="D20" s="6" t="str">
        <x:v>三跨梁交替活载组合</x:v>
      </x:c>
      <x:c r="E20" s="6" t="str">
        <x:v>连续梁</x:v>
      </x:c>
      <x:c r="F20" s="19" t="str">
        <x:v>2D</x:v>
      </x:c>
      <x:c r="G20" s="6" t="str">
        <x:v>交替活载与多组合</x:v>
      </x:c>
      <x:c r="H20" s="19" t="str">
        <x:v>L3</x:v>
      </x:c>
      <x:c r="I20" s="6" t="str">
        <x:v>活载作用区不同且需跨组合比较，工况、系数和结果归属容易混淆。</x:v>
      </x:c>
      <x:c r="J20" s="19" t="str">
        <x:v>中文</x:v>
      </x:c>
      <x:c r="K20" s="6" t="str">
        <x:v>完整文字任务 + 随题分析属性表（待编制）</x:v>
      </x:c>
      <x:c r="L20" s="23" t="n">
        <x:v>1</x:v>
      </x:c>
      <x:c r="M20" s="6" t="str">
        <x:v>跨度4、6、4m，D全跨8kN/m，L1仅中跨、L2仅两边跨各10kN/m，题定三个组合；完整属性按公共契约随题给出。 明确C0=D、C1=D+L1、C2=D+L2；各工况独立，非按规范自动选系数。</x:v>
      </x:c>
      <x:c r="N20" s="6" t="str">
        <x:v>工况独立保存和组合系数正确</x:v>
      </x:c>
      <x:c r="O20" s="6" t="str">
        <x:v>每组合四支反力、三跨中位移及中支座弯矩；输出控制组合标识。</x:v>
      </x:c>
      <x:c r="P20" s="6" t="str">
        <x:v>工况独立保存和组合系数正确；指定位置/分量对照数值真值，输出文字与结构化结果保持符号、单位和工况一致。</x:v>
      </x:c>
      <x:c r="Q20" s="19" t="str">
        <x:v>新增</x:v>
      </x:c>
      <x:c r="R20" s="6" t="str">
        <x:v>无</x:v>
      </x:c>
      <x:c r="S20" s="6" t="str">
        <x:v>无</x:v>
      </x:c>
      <x:c r="T20" s="6" t="str">
        <x:v>新增工程场景；母模型、提示词和真值均待建立。</x:v>
      </x:c>
      <x:c r="U20" s="6" t="str">
        <x:v>拟建立独立审定的 OpenSees 模型及同版本/同设置参考结果；分别求三个单位工况的独立刚度解，再按系数叠加；验证每个组合平衡。 参考值尚未生成。 所有题定输出均须覆盖，校核实现不复用被测转换链路。</x:v>
      </x:c>
      <x:c r="V20" s="6" t="str">
        <x:v>多组合执行契约需验证；完整题面、参数/单位契约与真值待验证</x:v>
      </x:c>
      <x:c r="W20" s="6" t="str">
        <x:v>规划，待编题与验证</x:v>
      </x:c>
      <x:c r="X20" s="6" t="str">
        <x:v>OpenSees</x:v>
      </x:c>
      <x:c r="Y20" s="19" t="str">
        <x:v>OpenSees</x:v>
      </x:c>
      <x:c r="Z20" s="6" t="str">
        <x:v>连续/外伸梁的分跨荷载与刚度响应核验，采用 OpenSees。 本题重点：工况独立保存和组合系数正确。</x:v>
      </x:c>
      <x:c r="AA20" s="6" t="str">
        <x:v>拟要求真实 OpenSees 求解，保存输入与原始结果的对应关系；解析式/独立矩阵解用于校核，不能替代规定引擎执行证据。</x:v>
      </x:c>
      <x:c r="AB20" s="6" t="str">
        <x:v>待逐题验证</x:v>
      </x:c>
      <x:c r="AC20" s="6" t="str">
        <x:v>三个独立工况和题定三个组合的保存、叠加及标签须验证。 当前无据认定接口不支持；需实际能力测试后确定，不将未验证能力记为模型失败。</x:v>
      </x:c>
      <x:c r="AD2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0" s="6" t="str">
        <x:v>拟保存（尚未生成）：OpenSees 版本、可运行模型/脚本、节点构件和荷载表、实际计算日志、原始结果与工况索引、平衡/独立解校核记录。</x:v>
      </x:c>
      <x:c r="AF20" s="6" t="str">
        <x:v>OPS；COMMON</x:v>
      </x:c>
    </x:row>
    <x:row r="21" ht="67.5" customHeight="1">
      <x:c r="A21" s="14" t="str">
        <x:v>STD-020</x:v>
      </x:c>
      <x:c r="B21" s="11" t="str">
        <x:v>标准工作流</x:v>
      </x:c>
      <x:c r="C21" s="18" t="str">
        <x:v>M-STD-020</x:v>
      </x:c>
      <x:c r="D21" s="11" t="str">
        <x:v>三跨递增跨度梁</x:v>
      </x:c>
      <x:c r="E21" s="11" t="str">
        <x:v>连续梁</x:v>
      </x:c>
      <x:c r="F21" s="18" t="str">
        <x:v>2D</x:v>
      </x:c>
      <x:c r="G21" s="11" t="str">
        <x:v>跨长与荷载列表映射</x:v>
      </x:c>
      <x:c r="H21" s="18" t="str">
        <x:v>L2</x:v>
      </x:c>
      <x:c r="I21" s="11" t="str">
        <x:v>跨度与荷载两套顺序列表必须保持对应关系。</x:v>
      </x:c>
      <x:c r="J21" s="18" t="str">
        <x:v>英文</x:v>
      </x:c>
      <x:c r="K21" s="11" t="str">
        <x:v>完整文字任务 + 随题分析属性表（待编制）</x:v>
      </x:c>
      <x:c r="L21" s="22" t="n">
        <x:v>1</x:v>
      </x:c>
      <x:c r="M21" s="11" t="str">
        <x:v>跨度3、5、7m，各跨均布载分别8、10、12kN/m；完整属性按公共契约随题给出。 支座坐标为0/3/8/15m，按第一到第三跨配载，不按长度排序重排。</x:v>
      </x:c>
      <x:c r="N21" s="11" t="str">
        <x:v>跨度列表与荷载列表一一对应</x:v>
      </x:c>
      <x:c r="O21" s="11" t="str">
        <x:v>四支反力、三跨中位移及中支座弯矩，附逐跨载荷表。</x:v>
      </x:c>
      <x:c r="P21" s="11" t="str">
        <x:v>跨度列表与荷载列表一一对应；指定位置/分量对照数值真值，输出文字与结构化结果保持符号、单位和工况一致。</x:v>
      </x:c>
      <x:c r="Q21" s="18" t="str">
        <x:v>新增</x:v>
      </x:c>
      <x:c r="R21" s="11" t="str">
        <x:v>无</x:v>
      </x:c>
      <x:c r="S21" s="11" t="str">
        <x:v>无</x:v>
      </x:c>
      <x:c r="T21" s="11" t="str">
        <x:v>新增工程场景；母模型、提示词和真值均待建立。</x:v>
      </x:c>
      <x:c r="U21" s="11" t="str">
        <x:v>拟建立独立审定的 OpenSees 模型及同版本/同设置参考结果；独立连续梁刚度法；逐跨合力/力矩和全梁平衡复核。 参考值尚未生成。 所有题定输出均须覆盖，校核实现不复用被测转换链路。</x:v>
      </x:c>
      <x:c r="V21" s="11" t="str">
        <x:v>基础工具；完整题面、参数/单位契约与真值待验证</x:v>
      </x:c>
      <x:c r="W21" s="11" t="str">
        <x:v>规划，待编题与验证</x:v>
      </x:c>
      <x:c r="X21" s="11" t="str">
        <x:v>OpenSees</x:v>
      </x:c>
      <x:c r="Y21" s="18" t="str">
        <x:v>OpenSees</x:v>
      </x:c>
      <x:c r="Z21" s="11" t="str">
        <x:v>连续/外伸梁的分跨荷载与刚度响应核验，采用 OpenSees。 本题重点：跨度列表与荷载列表一一对应。</x:v>
      </x:c>
      <x:c r="AA21" s="11" t="str">
        <x:v>拟要求真实 OpenSees 求解，保存输入与原始结果的对应关系；解析式/独立矩阵解用于校核，不能替代规定引擎执行证据。</x:v>
      </x:c>
      <x:c r="AB21" s="11" t="str">
        <x:v>待逐题验证</x:v>
      </x:c>
      <x:c r="AC21" s="11" t="str">
        <x:v>逐题核验跨度列表与荷载列表一一对应；输入、结果分量/位置及数值标答尚未完成验收。 当前无据认定接口不支持；需实际能力测试后确定，不将未验证能力记为模型失败。</x:v>
      </x:c>
      <x:c r="AD2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1" s="11" t="str">
        <x:v>拟保存（尚未生成）：OpenSees 版本、可运行模型/脚本、节点构件和荷载表、实际计算日志、原始结果与工况索引、平衡/独立解校核记录。</x:v>
      </x:c>
      <x:c r="AF21" s="11" t="str">
        <x:v>OPS；COMMON</x:v>
      </x:c>
    </x:row>
    <x:row r="22" ht="67.5" customHeight="1">
      <x:c r="A22" s="15" t="str">
        <x:v>STD-021</x:v>
      </x:c>
      <x:c r="B22" s="6" t="str">
        <x:v>标准工作流</x:v>
      </x:c>
      <x:c r="C22" s="19" t="str">
        <x:v>M-STD-021</x:v>
      </x:c>
      <x:c r="D22" s="6" t="str">
        <x:v>刚度突变的两跨梁</x:v>
      </x:c>
      <x:c r="E22" s="6" t="str">
        <x:v>连续梁</x:v>
      </x:c>
      <x:c r="F22" s="19" t="str">
        <x:v>2D</x:v>
      </x:c>
      <x:c r="G22" s="6" t="str">
        <x:v>连续梁刚度分区</x:v>
      </x:c>
      <x:c r="H22" s="19" t="str">
        <x:v>L2</x:v>
      </x:c>
      <x:c r="I22" s="6" t="str">
        <x:v>中支座几何连续而两跨刚度不同，不能按左右对称推断响应。</x:v>
      </x:c>
      <x:c r="J22" s="19" t="str">
        <x:v>中文</x:v>
      </x:c>
      <x:c r="K22" s="6" t="str">
        <x:v>完整文字任务 + 随题分析属性表（待编制）</x:v>
      </x:c>
      <x:c r="L22" s="23" t="n">
        <x:v>1</x:v>
      </x:c>
      <x:c r="M22" s="6" t="str">
        <x:v>跨度6m和6m，两跨分别使用B1和B2，均布载10kN/m；完整属性按公共契约随题给出。 B1、B2的A/I独立给出；中支座一个共用节点，未设置端释放。</x:v>
      </x:c>
      <x:c r="N22" s="6" t="str">
        <x:v>共用支座处节点连续但截面不同</x:v>
      </x:c>
      <x:c r="O22" s="6" t="str">
        <x:v>中支座弯矩、两跨中位移及三个支反力。</x:v>
      </x:c>
      <x:c r="P22" s="6" t="str">
        <x:v>共用支座处节点连续但截面不同；指定位置/分量对照数值真值，输出文字与结构化结果保持符号、单位和工况一致。</x:v>
      </x:c>
      <x:c r="Q22" s="19" t="str">
        <x:v>新增</x:v>
      </x:c>
      <x:c r="R22" s="6" t="str">
        <x:v>无</x:v>
      </x:c>
      <x:c r="S22" s="6" t="str">
        <x:v>无</x:v>
      </x:c>
      <x:c r="T22" s="6" t="str">
        <x:v>新增工程场景；母模型、提示词和真值均待建立。</x:v>
      </x:c>
      <x:c r="U22" s="6" t="str">
        <x:v>拟建立独立审定的 OpenSees 模型及同版本/同设置参考结果；含不同EI的三弯矩方程复核；检查界面转角相容。 参考值尚未生成。 所有题定输出均须覆盖，校核实现不复用被测转换链路。</x:v>
      </x:c>
      <x:c r="V22" s="6" t="str">
        <x:v>基础工具；完整题面、参数/单位契约与真值待验证</x:v>
      </x:c>
      <x:c r="W22" s="6" t="str">
        <x:v>规划，待编题与验证</x:v>
      </x:c>
      <x:c r="X22" s="6" t="str">
        <x:v>OpenSees</x:v>
      </x:c>
      <x:c r="Y22" s="19" t="str">
        <x:v>OpenSees</x:v>
      </x:c>
      <x:c r="Z22" s="6" t="str">
        <x:v>连续/外伸梁的分跨荷载与刚度响应核验，采用 OpenSees。 本题重点：共用支座处节点连续但截面不同。</x:v>
      </x:c>
      <x:c r="AA22" s="6" t="str">
        <x:v>拟要求真实 OpenSees 求解，保存输入与原始结果的对应关系；解析式/独立矩阵解用于校核，不能替代规定引擎执行证据。</x:v>
      </x:c>
      <x:c r="AB22" s="6" t="str">
        <x:v>待逐题验证</x:v>
      </x:c>
      <x:c r="AC22" s="6" t="str">
        <x:v>逐跨 EI 不同、共支座转角连续且不加端释放须验收。 当前无据认定接口不支持；需实际能力测试后确定，不将未验证能力记为模型失败。</x:v>
      </x:c>
      <x:c r="AD22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2" s="6" t="str">
        <x:v>拟保存（尚未生成）：OpenSees 版本、可运行模型/脚本、节点构件和荷载表、实际计算日志、原始结果与工况索引、平衡/独立解校核记录。</x:v>
      </x:c>
      <x:c r="AF22" s="6" t="str">
        <x:v>OPS；COMMON</x:v>
      </x:c>
    </x:row>
    <x:row r="23" ht="67.5" customHeight="1">
      <x:c r="A23" s="14" t="str">
        <x:v>STD-022</x:v>
      </x:c>
      <x:c r="B23" s="11" t="str">
        <x:v>标准工作流</x:v>
      </x:c>
      <x:c r="C23" s="18" t="str">
        <x:v>M-STD-022</x:v>
      </x:c>
      <x:c r="D23" s="11" t="str">
        <x:v>双跨连续梁末端外伸</x:v>
      </x:c>
      <x:c r="E23" s="11" t="str">
        <x:v>连续梁</x:v>
      </x:c>
      <x:c r="F23" s="18" t="str">
        <x:v>2D</x:v>
      </x:c>
      <x:c r="G23" s="11" t="str">
        <x:v>连续梁外伸与端力</x:v>
      </x:c>
      <x:c r="H23" s="18" t="str">
        <x:v>L3</x:v>
      </x:c>
      <x:c r="I23" s="11" t="str">
        <x:v>多跨连续、外伸边界和端集中力叠加，需维护完整荷载传递路径。</x:v>
      </x:c>
      <x:c r="J23" s="18" t="str">
        <x:v>英文</x:v>
      </x:c>
      <x:c r="K23" s="11" t="str">
        <x:v>完整文字任务 + 随题分析属性表（待编制）</x:v>
      </x:c>
      <x:c r="L23" s="22" t="n">
        <x:v>1</x:v>
      </x:c>
      <x:c r="M23" s="11" t="str">
        <x:v>支座x=0、5、10m，梁到x=12m，全长8kN/m，外伸端10kN；完整属性按公共契约随题给出。 x=10m为支座而不是梁端，最后2m外伸段保留，端力作用x=12m。</x:v>
      </x:c>
      <x:c r="N23" s="11" t="str">
        <x:v>连续跨、外伸段与端力同时定位</x:v>
      </x:c>
      <x:c r="O23" s="11" t="str">
        <x:v>三支反力、两支承跨中及外伸端位移、x=10m截面弯矩。</x:v>
      </x:c>
      <x:c r="P23" s="11" t="str">
        <x:v>连续跨、外伸段与端力同时定位；指定位置/分量对照数值真值，输出文字与结构化结果保持符号、单位和工况一致。</x:v>
      </x:c>
      <x:c r="Q23" s="18" t="str">
        <x:v>新增</x:v>
      </x:c>
      <x:c r="R23" s="11" t="str">
        <x:v>无</x:v>
      </x:c>
      <x:c r="S23" s="11" t="str">
        <x:v>无</x:v>
      </x:c>
      <x:c r="T23" s="11" t="str">
        <x:v>新增工程场景；母模型、提示词和真值均待建立。</x:v>
      </x:c>
      <x:c r="U23" s="11" t="str">
        <x:v>拟建立独立审定的 OpenSees 模型及同版本/同设置参考结果；独立分段梁刚度法；外伸段截面平衡可手算检查，再验整体相容。 参考值尚未生成。 所有题定输出均须覆盖，校核实现不复用被测转换链路。</x:v>
      </x:c>
      <x:c r="V23" s="11" t="str">
        <x:v>基础工具；完整题面、参数/单位契约与真值待验证</x:v>
      </x:c>
      <x:c r="W23" s="11" t="str">
        <x:v>规划，待编题与验证</x:v>
      </x:c>
      <x:c r="X23" s="11" t="str">
        <x:v>OpenSees</x:v>
      </x:c>
      <x:c r="Y23" s="18" t="str">
        <x:v>OpenSees</x:v>
      </x:c>
      <x:c r="Z23" s="11" t="str">
        <x:v>连续/外伸梁的分跨荷载与刚度响应核验，采用 OpenSees。 本题重点：连续跨、外伸段与端力同时定位。</x:v>
      </x:c>
      <x:c r="AA23" s="11" t="str">
        <x:v>拟要求真实 OpenSees 求解，保存输入与原始结果的对应关系；解析式/独立矩阵解用于校核，不能替代规定引擎执行证据。</x:v>
      </x:c>
      <x:c r="AB23" s="11" t="str">
        <x:v>待逐题验证</x:v>
      </x:c>
      <x:c r="AC23" s="11" t="str">
        <x:v>支座之后外伸段连续建模、端部集中力及指定截面输出须验收。 当前无据认定接口不支持；需实际能力测试后确定，不将未验证能力记为模型失败。</x:v>
      </x:c>
      <x:c r="AD2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3" s="11" t="str">
        <x:v>拟保存（尚未生成）：OpenSees 版本、可运行模型/脚本、节点构件和荷载表、实际计算日志、原始结果与工况索引、平衡/独立解校核记录。</x:v>
      </x:c>
      <x:c r="AF23" s="11" t="str">
        <x:v>OPS；COMMON</x:v>
      </x:c>
    </x:row>
    <x:row r="24" ht="67.5" customHeight="1">
      <x:c r="A24" s="15" t="str">
        <x:v>STD-023</x:v>
      </x:c>
      <x:c r="B24" s="6" t="str">
        <x:v>标准工作流</x:v>
      </x:c>
      <x:c r="C24" s="19" t="str">
        <x:v>M-STD-023</x:v>
      </x:c>
      <x:c r="D24" s="6" t="str">
        <x:v>支座处与跨内集中力并存</x:v>
      </x:c>
      <x:c r="E24" s="6" t="str">
        <x:v>连续梁</x:v>
      </x:c>
      <x:c r="F24" s="19" t="str">
        <x:v>2D</x:v>
      </x:c>
      <x:c r="G24" s="6" t="str">
        <x:v>支座节点荷载</x:v>
      </x:c>
      <x:c r="H24" s="19" t="str">
        <x:v>L2</x:v>
      </x:c>
      <x:c r="I24" s="6" t="str">
        <x:v>支座上外力影响反力，不能自动移到跨内或当作无效荷载删除。</x:v>
      </x:c>
      <x:c r="J24" s="19" t="str">
        <x:v>中文</x:v>
      </x:c>
      <x:c r="K24" s="6" t="str">
        <x:v>完整文字任务 + 随题分析属性表（待编制）</x:v>
      </x:c>
      <x:c r="L24" s="23" t="n">
        <x:v>1</x:v>
      </x:c>
      <x:c r="M24" s="6" t="str">
        <x:v>双跨4、6m，中支座处30kN，第二跨中点20kN；完整属性按公共契约随题给出。 中支座x=4m处30kN与第二跨中x=7m处20kN分别建立节点力。</x:v>
      </x:c>
      <x:c r="N24" s="6" t="str">
        <x:v>支座节点荷载不应挪到跨中</x:v>
      </x:c>
      <x:c r="O24" s="6" t="str">
        <x:v>支反力、两跨中位移和中支座弯矩，区分支座载荷与跨内载荷。</x:v>
      </x:c>
      <x:c r="P24" s="6" t="str">
        <x:v>支座节点荷载不应挪到跨中；指定位置/分量对照数值真值，输出文字与结构化结果保持符号、单位和工况一致。</x:v>
      </x:c>
      <x:c r="Q24" s="19" t="str">
        <x:v>新增</x:v>
      </x:c>
      <x:c r="R24" s="6" t="str">
        <x:v>无</x:v>
      </x:c>
      <x:c r="S24" s="6" t="str">
        <x:v>无</x:v>
      </x:c>
      <x:c r="T24" s="6" t="str">
        <x:v>新增工程场景；母模型、提示词和真值均待建立。</x:v>
      </x:c>
      <x:c r="U24" s="6" t="str">
        <x:v>拟建立独立审定的 OpenSees 模型及同版本/同设置参考结果；先核对有无支座点载时非支座位移不变、对应反力变化；独立刚度法求余项。 参考值尚未生成。 所有题定输出均须覆盖，校核实现不复用被测转换链路。</x:v>
      </x:c>
      <x:c r="V24" s="6" t="str">
        <x:v>基础工具；完整题面、参数/单位契约与真值待验证</x:v>
      </x:c>
      <x:c r="W24" s="6" t="str">
        <x:v>规划，待编题与验证</x:v>
      </x:c>
      <x:c r="X24" s="6" t="str">
        <x:v>OpenSees</x:v>
      </x:c>
      <x:c r="Y24" s="19" t="str">
        <x:v>OpenSees</x:v>
      </x:c>
      <x:c r="Z24" s="6" t="str">
        <x:v>连续/外伸梁的分跨荷载与刚度响应核验，采用 OpenSees。 本题重点：支座节点荷载不应挪到跨中。</x:v>
      </x:c>
      <x:c r="AA24" s="6" t="str">
        <x:v>拟要求真实 OpenSees 求解，保存输入与原始结果的对应关系；解析式/独立矩阵解用于校核，不能替代规定引擎执行证据。</x:v>
      </x:c>
      <x:c r="AB24" s="6" t="str">
        <x:v>待逐题验证</x:v>
      </x:c>
      <x:c r="AC24" s="6" t="str">
        <x:v>直接作用于支座的节点荷载应进入反力平衡，不能挪作跨内力。 当前无据认定接口不支持；需实际能力测试后确定，不将未验证能力记为模型失败。</x:v>
      </x:c>
      <x:c r="AD2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4" s="6" t="str">
        <x:v>拟保存（尚未生成）：OpenSees 版本、可运行模型/脚本、节点构件和荷载表、实际计算日志、原始结果与工况索引、平衡/独立解校核记录。</x:v>
      </x:c>
      <x:c r="AF24" s="6" t="str">
        <x:v>OPS；COMMON</x:v>
      </x:c>
    </x:row>
    <x:row r="25" ht="67.5" customHeight="1">
      <x:c r="A25" s="14" t="str">
        <x:v>STD-024</x:v>
      </x:c>
      <x:c r="B25" s="11" t="str">
        <x:v>标准工作流</x:v>
      </x:c>
      <x:c r="C25" s="18" t="str">
        <x:v>M-STD-024</x:v>
      </x:c>
      <x:c r="D25" s="11" t="str">
        <x:v>上拔与向下工况的连续梁</x:v>
      </x:c>
      <x:c r="E25" s="11" t="str">
        <x:v>连续梁</x:v>
      </x:c>
      <x:c r="F25" s="18" t="str">
        <x:v>2D</x:v>
      </x:c>
      <x:c r="G25" s="11" t="str">
        <x:v>正负荷载与组合</x:v>
      </x:c>
      <x:c r="H25" s="18" t="str">
        <x:v>L3</x:v>
      </x:c>
      <x:c r="I25" s="11" t="str">
        <x:v>局部上拔与重力相反，组合后响应有符号，不能先取绝对值。</x:v>
      </x:c>
      <x:c r="J25" s="18" t="str">
        <x:v>英文</x:v>
      </x:c>
      <x:c r="K25" s="11" t="str">
        <x:v>完整文字任务 + 随题分析属性表（待编制）</x:v>
      </x:c>
      <x:c r="L25" s="22" t="n">
        <x:v>1</x:v>
      </x:c>
      <x:c r="M25" s="11" t="str">
        <x:v>三跨5、5、5m，D全跨向下8kN/m，W仅中跨向上6kN/m，显式符号约定；完整属性按公共契约随题给出。 定义向上为正Z；C0=D、C1=D+W，滚支为双向约束，允许计算负反力。</x:v>
      </x:c>
      <x:c r="N25" s="11" t="str">
        <x:v>相反方向荷载及组合不能误删为非法</x:v>
      </x:c>
      <x:c r="O25" s="11" t="str">
        <x:v>两个组合的支反力、各跨中位移及中支座弯矩，保留结果符号。</x:v>
      </x:c>
      <x:c r="P25" s="11" t="str">
        <x:v>相反方向荷载及组合不能误删为非法；指定位置/分量对照数值真值，输出文字与结构化结果保持符号、单位和工况一致。</x:v>
      </x:c>
      <x:c r="Q25" s="18" t="str">
        <x:v>新增</x:v>
      </x:c>
      <x:c r="R25" s="11" t="str">
        <x:v>无</x:v>
      </x:c>
      <x:c r="S25" s="11" t="str">
        <x:v>无</x:v>
      </x:c>
      <x:c r="T25" s="11" t="str">
        <x:v>新增工程场景；母模型、提示词和真值均待建立。</x:v>
      </x:c>
      <x:c r="U25" s="11" t="str">
        <x:v>拟建立独立审定的 OpenSees 模型及同版本/同设置参考结果；按有符号工况线性叠加；静力平衡与反向载荷响应一致性核验。 参考值尚未生成。 所有题定输出均须覆盖，校核实现不复用被测转换链路。</x:v>
      </x:c>
      <x:c r="V25" s="11" t="str">
        <x:v>多组合执行契约需验证；完整题面、参数/单位契约与真值待验证</x:v>
      </x:c>
      <x:c r="W25" s="11" t="str">
        <x:v>规划，待编题与验证</x:v>
      </x:c>
      <x:c r="X25" s="11" t="str">
        <x:v>OpenSees</x:v>
      </x:c>
      <x:c r="Y25" s="18" t="str">
        <x:v>OpenSees</x:v>
      </x:c>
      <x:c r="Z25" s="11" t="str">
        <x:v>连续/外伸梁的分跨荷载与刚度响应核验，采用 OpenSees。 本题重点：相反方向荷载及组合不能误删为非法。</x:v>
      </x:c>
      <x:c r="AA25" s="11" t="str">
        <x:v>拟要求真实 OpenSees 求解，保存输入与原始结果的对应关系；解析式/独立矩阵解用于校核，不能替代规定引擎执行证据。</x:v>
      </x:c>
      <x:c r="AB25" s="11" t="str">
        <x:v>待逐题验证</x:v>
      </x:c>
      <x:c r="AC25" s="11" t="str">
        <x:v>向上工况、负反力和双向支座定义以及有符号组合输出须验证。 当前无据认定接口不支持；需实际能力测试后确定，不将未验证能力记为模型失败。</x:v>
      </x:c>
      <x:c r="AD2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5" s="11" t="str">
        <x:v>拟保存（尚未生成）：OpenSees 版本、可运行模型/脚本、节点构件和荷载表、实际计算日志、原始结果与工况索引、平衡/独立解校核记录。</x:v>
      </x:c>
      <x:c r="AF25" s="11" t="str">
        <x:v>OPS；COMMON</x:v>
      </x:c>
    </x:row>
    <x:row r="26" ht="67.5" customHeight="1">
      <x:c r="A26" s="15" t="str">
        <x:v>STD-025</x:v>
      </x:c>
      <x:c r="B26" s="6" t="str">
        <x:v>标准工作流</x:v>
      </x:c>
      <x:c r="C26" s="19" t="str">
        <x:v>M-STD-025</x:v>
      </x:c>
      <x:c r="D26" s="6" t="str">
        <x:v>带节点力矩的两跨梁</x:v>
      </x:c>
      <x:c r="E26" s="6" t="str">
        <x:v>连续梁</x:v>
      </x:c>
      <x:c r="F26" s="19" t="str">
        <x:v>2D</x:v>
      </x:c>
      <x:c r="G26" s="6" t="str">
        <x:v>节点力矩与自由转角</x:v>
      </x:c>
      <x:c r="H26" s="19" t="str">
        <x:v>L2</x:v>
      </x:c>
      <x:c r="I26" s="6" t="str">
        <x:v>节点力矩的量纲和作用自由度不同于力，不能把自由转角锁死。</x:v>
      </x:c>
      <x:c r="J26" s="19" t="str">
        <x:v>中文</x:v>
      </x:c>
      <x:c r="K26" s="6" t="str">
        <x:v>完整文字任务 + 随题分析属性表（待编制）</x:v>
      </x:c>
      <x:c r="L26" s="23" t="n">
        <x:v>1</x:v>
      </x:c>
      <x:c r="M26" s="6" t="str">
        <x:v>两跨5、5m，全跨6kN/m，在右端施加全局Y轴20kN·m，符号明确；完整属性按公共契约随题给出。 全局Z向上、梁沿X，右端20kN·m取正Y方向；右滚支转角仍自由。</x:v>
      </x:c>
      <x:c r="N26" s="6" t="str">
        <x:v>节点力矩与集中力量纲不同</x:v>
      </x:c>
      <x:c r="O26" s="6" t="str">
        <x:v>三支反力、各跨中位移、右端转角和截面弯矩。</x:v>
      </x:c>
      <x:c r="P26" s="6" t="str">
        <x:v>节点力矩与集中力量纲不同；指定位置/分量对照数值真值，输出文字与结构化结果保持符号、单位和工况一致。</x:v>
      </x:c>
      <x:c r="Q26" s="19" t="str">
        <x:v>新增</x:v>
      </x:c>
      <x:c r="R26" s="6" t="str">
        <x:v>无</x:v>
      </x:c>
      <x:c r="S26" s="6" t="str">
        <x:v>无</x:v>
      </x:c>
      <x:c r="T26" s="6" t="str">
        <x:v>新增工程场景；母模型、提示词和真值均待建立。</x:v>
      </x:c>
      <x:c r="U26" s="6" t="str">
        <x:v>拟建立独立审定的 OpenSees 模型及同版本/同设置参考结果；独立刚度法加入转动自由度荷载；全局力矩平衡和端弯矩复核。 参考值尚未生成。 所有题定输出均须覆盖，校核实现不复用被测转换链路。</x:v>
      </x:c>
      <x:c r="V26" s="6" t="str">
        <x:v>节点力矩输入需验证；完整题面、参数/单位契约与真值待验证</x:v>
      </x:c>
      <x:c r="W26" s="6" t="str">
        <x:v>规划，待编题与验证</x:v>
      </x:c>
      <x:c r="X26" s="6" t="str">
        <x:v>OpenSees</x:v>
      </x:c>
      <x:c r="Y26" s="19" t="str">
        <x:v>OpenSees</x:v>
      </x:c>
      <x:c r="Z26" s="6" t="str">
        <x:v>连续/外伸梁的分跨荷载与刚度响应核验，采用 OpenSees。 本题重点：节点力矩与集中力量纲不同。</x:v>
      </x:c>
      <x:c r="AA26" s="6" t="str">
        <x:v>拟要求真实 OpenSees 求解，保存输入与原始结果的对应关系；解析式/独立矩阵解用于校核，不能替代规定引擎执行证据。</x:v>
      </x:c>
      <x:c r="AB26" s="6" t="str">
        <x:v>待逐题验证</x:v>
      </x:c>
      <x:c r="AC26" s="6" t="str">
        <x:v>节点力矩输入、滚支自由转角及端弯矩符号须验证。 当前无据认定接口不支持；需实际能力测试后确定，不将未验证能力记为模型失败。</x:v>
      </x:c>
      <x:c r="AD2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6" s="6" t="str">
        <x:v>拟保存（尚未生成）：OpenSees 版本、可运行模型/脚本、节点构件和荷载表、实际计算日志、原始结果与工况索引、平衡/独立解校核记录。</x:v>
      </x:c>
      <x:c r="AF26" s="6" t="str">
        <x:v>OPS；COMMON</x:v>
      </x:c>
    </x:row>
    <x:row r="27" ht="67.5" customHeight="1">
      <x:c r="A27" s="14" t="str">
        <x:v>STD-026</x:v>
      </x:c>
      <x:c r="B27" s="11" t="str">
        <x:v>标准工作流</x:v>
      </x:c>
      <x:c r="C27" s="18" t="str">
        <x:v>M-STD-026</x:v>
      </x:c>
      <x:c r="D27" s="11" t="str">
        <x:v>四跨分组截面与分跨工况</x:v>
      </x:c>
      <x:c r="E27" s="11" t="str">
        <x:v>连续梁</x:v>
      </x:c>
      <x:c r="F27" s="18" t="str">
        <x:v>2D</x:v>
      </x:c>
      <x:c r="G27" s="11" t="str">
        <x:v>多跨截面组与分工况</x:v>
      </x:c>
      <x:c r="H27" s="18" t="str">
        <x:v>L3</x:v>
      </x:c>
      <x:c r="I27" s="11" t="str">
        <x:v>跨长、截面组和活载区三套划分交错，结果需要追溯组合归属。</x:v>
      </x:c>
      <x:c r="J27" s="18" t="str">
        <x:v>英文</x:v>
      </x:c>
      <x:c r="K27" s="11" t="str">
        <x:v>完整文字任务 + 随题分析属性表（待编制）</x:v>
      </x:c>
      <x:c r="L27" s="22" t="n">
        <x:v>1</x:v>
      </x:c>
      <x:c r="M27" s="11" t="str">
        <x:v>跨度4、6、5、4m，中间两跨B2其余B1，D全跨、L仅第二第四跨，题定组合；完整属性按公共契约随题给出。 D为全梁8kN/m；L在第二、四跨各10kN/m；C0=D、C1=1.2D+1.4L。</x:v>
      </x:c>
      <x:c r="N27" s="11" t="str">
        <x:v>几何、截面组、工况映射同时存在</x:v>
      </x:c>
      <x:c r="O27" s="11" t="str">
        <x:v>两组合各支反力、四跨中位移及中支座弯矩；标出对应跨和组合。</x:v>
      </x:c>
      <x:c r="P27" s="11" t="str">
        <x:v>几何、截面组、工况映射同时存在；指定位置/分量对照数值真值，输出文字与结构化结果保持符号、单位和工况一致。</x:v>
      </x:c>
      <x:c r="Q27" s="18" t="str">
        <x:v>新增</x:v>
      </x:c>
      <x:c r="R27" s="11" t="str">
        <x:v>无</x:v>
      </x:c>
      <x:c r="S27" s="11" t="str">
        <x:v>无</x:v>
      </x:c>
      <x:c r="T27" s="11" t="str">
        <x:v>新增工程场景；母模型、提示词和真值均待建立。</x:v>
      </x:c>
      <x:c r="U27" s="11" t="str">
        <x:v>拟建立独立审定的 OpenSees 模型及同版本/同设置参考结果；独立分段梁刚度法；逐工况与组合叠加验证，再做网格敏感性检查。 参考值尚未生成。 所有题定输出均须覆盖，校核实现不复用被测转换链路。</x:v>
      </x:c>
      <x:c r="V27" s="11" t="str">
        <x:v>多组合执行契约需验证；完整题面、参数/单位契约与真值待验证</x:v>
      </x:c>
      <x:c r="W27" s="11" t="str">
        <x:v>规划，待编题与验证</x:v>
      </x:c>
      <x:c r="X27" s="11" t="str">
        <x:v>OpenSees</x:v>
      </x:c>
      <x:c r="Y27" s="18" t="str">
        <x:v>OpenSees</x:v>
      </x:c>
      <x:c r="Z27" s="11" t="str">
        <x:v>连续/外伸梁的分跨荷载与刚度响应核验，采用 OpenSees。 本题重点：几何、截面组、工况映射同时存在。</x:v>
      </x:c>
      <x:c r="AA27" s="11" t="str">
        <x:v>拟要求真实 OpenSees 求解，保存输入与原始结果的对应关系；解析式/独立矩阵解用于校核，不能替代规定引擎执行证据。</x:v>
      </x:c>
      <x:c r="AB27" s="11" t="str">
        <x:v>待逐题验证</x:v>
      </x:c>
      <x:c r="AC27" s="11" t="str">
        <x:v>多跨度/截面/工况交叉映射及 1.2D+1.4L 组合索引须验证。 当前无据认定接口不支持；需实际能力测试后确定，不将未验证能力记为模型失败。</x:v>
      </x:c>
      <x:c r="AD2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荷载与观测位置可合理分段，但不改变支承/连续条件；跨内响应须含荷载项。</x:v>
      </x:c>
      <x:c r="AE27" s="11" t="str">
        <x:v>拟保存（尚未生成）：OpenSees 版本、可运行模型/脚本、节点构件和荷载表、实际计算日志、原始结果与工况索引、平衡/独立解校核记录。</x:v>
      </x:c>
      <x:c r="AF27" s="11" t="str">
        <x:v>OPS；COMMON</x:v>
      </x:c>
    </x:row>
    <x:row r="28" ht="67.5" customHeight="1">
      <x:c r="A28" s="15" t="str">
        <x:v>STD-027</x:v>
      </x:c>
      <x:c r="B28" s="6" t="str">
        <x:v>标准工作流</x:v>
      </x:c>
      <x:c r="C28" s="19" t="str">
        <x:v>M-STD-027</x:v>
      </x:c>
      <x:c r="D28" s="6" t="str">
        <x:v>15m规则Pratt桁架</x:v>
      </x:c>
      <x:c r="E28" s="6" t="str">
        <x:v>桁架</x:v>
      </x:c>
      <x:c r="F28" s="19" t="str">
        <x:v>2D</x:v>
      </x:c>
      <x:c r="G28" s="6" t="str">
        <x:v>显式桁架拓扑</x:v>
      </x:c>
      <x:c r="H28" s="19" t="str">
        <x:v>L1</x:v>
      </x:c>
      <x:c r="I28" s="6" t="str">
        <x:v>规则几何且连接表完整，主要检查桁架单元与支座语义。</x:v>
      </x:c>
      <x:c r="J28" s="19" t="str">
        <x:v>中文</x:v>
      </x:c>
      <x:c r="K28" s="6" t="str">
        <x:v>完整文字任务 + 随题分析属性表（待编制）</x:v>
      </x:c>
      <x:c r="L28" s="23" t="n">
        <x:v>1</x:v>
      </x:c>
      <x:c r="M28" s="6" t="str">
        <x:v>跨度15m、高2.5m、5节间，四个内部上弦节点各10kN，按旧题连接表；完整属性按公共契约随题给出。 按旧题节点及斜杆端点表建模；各杆只承轴力，不将屋架外观当作刚接梁。</x:v>
      </x:c>
      <x:c r="N28" s="6" t="str">
        <x:v>按给定连接而非名称补猜</x:v>
      </x:c>
      <x:c r="O28" s="6" t="str">
        <x:v>全部杆轴力和拉压标识、四个受载上弦节点位移、左右支反力。</x:v>
      </x:c>
      <x:c r="P28" s="6" t="str">
        <x:v>按给定连接而非名称补猜；指定位置/分量对照数值真值，输出文字与结构化结果保持符号、单位和工况一致。</x:v>
      </x:c>
      <x:c r="Q28" s="19" t="str">
        <x:v>旧题改编</x:v>
      </x:c>
      <x:c r="R28" s="6" t="str">
        <x:v>truss-pratt-static</x:v>
      </x:c>
      <x:c r="S28" s="6" t="str">
        <x:v>std-truss-pratt-15m</x:v>
      </x:c>
      <x:c r="T28" s="6" t="str">
        <x:v>保留旧题主要几何与荷载，显式补齐单位、自重、观测位置和结果评分；新契约下须重新核验真值。</x:v>
      </x:c>
      <x:c r="U28" s="6" t="str">
        <x:v>拟建立独立审定的 OpenSees 模型及同版本/同设置参考结果；独立二维杆系刚度法；每节点力平衡复核轴力、整体平衡复核反力。 参考值尚未生成。 所有题定输出均须覆盖，校核实现不复用被测转换链路。</x:v>
      </x:c>
      <x:c r="V28" s="6" t="str">
        <x:v>基础工具；完整题面、参数/单位契约与真值待验证</x:v>
      </x:c>
      <x:c r="W28" s="6" t="str">
        <x:v>规划，待编题与验证</x:v>
      </x:c>
      <x:c r="X28" s="6" t="str">
        <x:v>OpenSees</x:v>
      </x:c>
      <x:c r="Y28" s="19" t="str">
        <x:v>OpenSees</x:v>
      </x:c>
      <x:c r="Z28" s="6" t="str">
        <x:v>二维或三维轴力杆系任务，采用 OpenSees；不扩造建筑楼层来适配商业入口。 本题重点：按给定连接而非名称补猜。</x:v>
      </x:c>
      <x:c r="AA28" s="6" t="str">
        <x:v>拟要求真实 OpenSees 求解，保存输入与原始结果的对应关系；解析式/独立矩阵解用于校核，不能替代规定引擎执行证据。</x:v>
      </x:c>
      <x:c r="AB28" s="6" t="str">
        <x:v>待逐题验证</x:v>
      </x:c>
      <x:c r="AC28" s="6" t="str">
        <x:v>逐题核验按给定连接而非名称补猜；输入、结果分量/位置及数值标答尚未完成验收。 当前无据认定接口不支持；需实际能力测试后确定，不将未验证能力记为模型失败。</x:v>
      </x:c>
      <x:c r="AD2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28" s="6" t="str">
        <x:v>拟保存（尚未生成）：OpenSees 版本、可运行模型/脚本、节点构件和荷载表、实际计算日志、原始结果与工况索引、平衡/独立解校核记录。</x:v>
      </x:c>
      <x:c r="AF28" s="6" t="str">
        <x:v>OPS；COMMON</x:v>
      </x:c>
    </x:row>
    <x:row r="29" ht="67.5" customHeight="1">
      <x:c r="A29" s="14" t="str">
        <x:v>STD-028</x:v>
      </x:c>
      <x:c r="B29" s="11" t="str">
        <x:v>标准工作流</x:v>
      </x:c>
      <x:c r="C29" s="18" t="str">
        <x:v>M-STD-028</x:v>
      </x:c>
      <x:c r="D29" s="11" t="str">
        <x:v>梯形桁架下弦加载</x:v>
      </x:c>
      <x:c r="E29" s="11" t="str">
        <x:v>桁架</x:v>
      </x:c>
      <x:c r="F29" s="18" t="str">
        <x:v>2D</x:v>
      </x:c>
      <x:c r="G29" s="11" t="str">
        <x:v>变高度桁架与下弦载荷</x:v>
      </x:c>
      <x:c r="H29" s="18" t="str">
        <x:v>L2</x:v>
      </x:c>
      <x:c r="I29" s="11" t="str">
        <x:v>变高度坐标与下弦荷载同时映射，不能把载荷惯性地放到上弦。</x:v>
      </x:c>
      <x:c r="J29" s="18" t="str">
        <x:v>英文</x:v>
      </x:c>
      <x:c r="K29" s="11" t="str">
        <x:v>完整文字任务 + 随题分析属性表（待编制）</x:v>
      </x:c>
      <x:c r="L29" s="22" t="n">
        <x:v>1</x:v>
      </x:c>
      <x:c r="M29" s="11" t="str">
        <x:v>跨度18m、6节间，端高1.6m、中高2.5m，五个内部下弦节点各15kN；完整属性按公共契约随题给出。 提供端高到脊高的分段坡线及全部腹杆连接，载荷只施加到内部下弦。</x:v>
      </x:c>
      <x:c r="N29" s="11" t="str">
        <x:v>变高度与下弦作用点</x:v>
      </x:c>
      <x:c r="O29" s="11" t="str">
        <x:v>下弦受载节点位移、上下弦及腹杆轴力、支反力。</x:v>
      </x:c>
      <x:c r="P29" s="11" t="str">
        <x:v>变高度与下弦作用点；指定位置/分量对照数值真值，输出文字与结构化结果保持符号、单位和工况一致。</x:v>
      </x:c>
      <x:c r="Q29" s="18" t="str">
        <x:v>旧题改编</x:v>
      </x:c>
      <x:c r="R29" s="11" t="str">
        <x:v>truss-trapezoidal-static</x:v>
      </x:c>
      <x:c r="S29" s="11" t="str">
        <x:v>无</x:v>
      </x:c>
      <x:c r="T29" s="11" t="str">
        <x:v>保留旧题主要几何与荷载，显式补齐单位、自重、观测位置和结果评分；新契约下须重新核验真值。</x:v>
      </x:c>
      <x:c r="U29" s="11" t="str">
        <x:v>拟建立独立审定的 OpenSees 模型及同版本/同设置参考结果；独立桁架矩阵组装；逐节点平衡与载荷节点集合核对。 参考值尚未生成。 所有题定输出均须覆盖，校核实现不复用被测转换链路。</x:v>
      </x:c>
      <x:c r="V29" s="11" t="str">
        <x:v>基础工具；完整题面、参数/单位契约与真值待验证</x:v>
      </x:c>
      <x:c r="W29" s="11" t="str">
        <x:v>规划，待编题与验证</x:v>
      </x:c>
      <x:c r="X29" s="11" t="str">
        <x:v>OpenSees</x:v>
      </x:c>
      <x:c r="Y29" s="18" t="str">
        <x:v>OpenSees</x:v>
      </x:c>
      <x:c r="Z29" s="11" t="str">
        <x:v>二维或三维轴力杆系任务，采用 OpenSees；不扩造建筑楼层来适配商业入口。 本题重点：变高度与下弦作用点。</x:v>
      </x:c>
      <x:c r="AA29" s="11" t="str">
        <x:v>拟要求真实 OpenSees 求解，保存输入与原始结果的对应关系；解析式/独立矩阵解用于校核，不能替代规定引擎执行证据。</x:v>
      </x:c>
      <x:c r="AB29" s="11" t="str">
        <x:v>待逐题验证</x:v>
      </x:c>
      <x:c r="AC29" s="11" t="str">
        <x:v>逐题核验变高度与下弦作用点；输入、结果分量/位置及数值标答尚未完成验收。 当前无据认定接口不支持；需实际能力测试后确定，不将未验证能力记为模型失败。</x:v>
      </x:c>
      <x:c r="AD2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29" s="11" t="str">
        <x:v>拟保存（尚未生成）：OpenSees 版本、可运行模型/脚本、节点构件和荷载表、实际计算日志、原始结果与工况索引、平衡/独立解校核记录。</x:v>
      </x:c>
      <x:c r="AF29" s="11" t="str">
        <x:v>OPS；COMMON</x:v>
      </x:c>
    </x:row>
    <x:row r="30" ht="67.5" customHeight="1">
      <x:c r="A30" s="15" t="str">
        <x:v>STD-029</x:v>
      </x:c>
      <x:c r="B30" s="6" t="str">
        <x:v>标准工作流</x:v>
      </x:c>
      <x:c r="C30" s="19" t="str">
        <x:v>M-STD-029</x:v>
      </x:c>
      <x:c r="D30" s="6" t="str">
        <x:v>12m三角桁架水平连杆</x:v>
      </x:c>
      <x:c r="E30" s="6" t="str">
        <x:v>桁架</x:v>
      </x:c>
      <x:c r="F30" s="19" t="str">
        <x:v>2D</x:v>
      </x:c>
      <x:c r="G30" s="6" t="str">
        <x:v>三角外形与附加连杆</x:v>
      </x:c>
      <x:c r="H30" s="19" t="str">
        <x:v>L1</x:v>
      </x:c>
      <x:c r="I30" s="6" t="str">
        <x:v>拓扑已逐杆明示，关键是不按标准屋架模板省去附加连杆。</x:v>
      </x:c>
      <x:c r="J30" s="19" t="str">
        <x:v>中文</x:v>
      </x:c>
      <x:c r="K30" s="6" t="str">
        <x:v>完整文字任务 + 随题分析属性表（待编制）</x:v>
      </x:c>
      <x:c r="L30" s="23" t="n">
        <x:v>1</x:v>
      </x:c>
      <x:c r="M30" s="6" t="str">
        <x:v>跨度12m、高3m，旧题6节点10杆，三个上弦节点各20kN；完整属性按公共契约随题给出。 保留三个上弦节点到跨中下弦的连杆，以及两侧上弦节点间的水平杆。</x:v>
      </x:c>
      <x:c r="N30" s="6" t="str">
        <x:v>保留特殊水平连杆与连接节点</x:v>
      </x:c>
      <x:c r="O30" s="6" t="str">
        <x:v>三受载上弦节点位移、水平连杆与其余杆轴力、支反力。</x:v>
      </x:c>
      <x:c r="P30" s="6" t="str">
        <x:v>保留特殊水平连杆与连接节点；指定位置/分量对照数值真值，输出文字与结构化结果保持符号、单位和工况一致。</x:v>
      </x:c>
      <x:c r="Q30" s="19" t="str">
        <x:v>旧题改编</x:v>
      </x:c>
      <x:c r="R30" s="6" t="str">
        <x:v>truss-triangle-static</x:v>
      </x:c>
      <x:c r="S30" s="6" t="str">
        <x:v>无</x:v>
      </x:c>
      <x:c r="T30" s="6" t="str">
        <x:v>保留旧题主要几何与荷载，显式补齐单位、自重、观测位置和结果评分；新契约下须重新核验真值。</x:v>
      </x:c>
      <x:c r="U30" s="6" t="str">
        <x:v>拟建立独立审定的 OpenSees 模型及同版本/同设置参考结果；独立桁架刚度法；核对附加水平杆存在性与全节点平衡。 参考值尚未生成。 所有题定输出均须覆盖，校核实现不复用被测转换链路。</x:v>
      </x:c>
      <x:c r="V30" s="6" t="str">
        <x:v>基础工具；完整题面、参数/单位契约与真值待验证</x:v>
      </x:c>
      <x:c r="W30" s="6" t="str">
        <x:v>规划，待编题与验证</x:v>
      </x:c>
      <x:c r="X30" s="6" t="str">
        <x:v>OpenSees</x:v>
      </x:c>
      <x:c r="Y30" s="19" t="str">
        <x:v>OpenSees</x:v>
      </x:c>
      <x:c r="Z30" s="6" t="str">
        <x:v>二维或三维轴力杆系任务，采用 OpenSees；不扩造建筑楼层来适配商业入口。 本题重点：保留特殊水平连杆与连接节点。</x:v>
      </x:c>
      <x:c r="AA30" s="6" t="str">
        <x:v>拟要求真实 OpenSees 求解，保存输入与原始结果的对应关系；解析式/独立矩阵解用于校核，不能替代规定引擎执行证据。</x:v>
      </x:c>
      <x:c r="AB30" s="6" t="str">
        <x:v>待逐题验证</x:v>
      </x:c>
      <x:c r="AC30" s="6" t="str">
        <x:v>逐题核验保留特殊水平连杆与连接节点；输入、结果分量/位置及数值标答尚未完成验收。 当前无据认定接口不支持；需实际能力测试后确定，不将未验证能力记为模型失败。</x:v>
      </x:c>
      <x:c r="AD3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0" s="6" t="str">
        <x:v>拟保存（尚未生成）：OpenSees 版本、可运行模型/脚本、节点构件和荷载表、实际计算日志、原始结果与工况索引、平衡/独立解校核记录。</x:v>
      </x:c>
      <x:c r="AF30" s="6" t="str">
        <x:v>OPS；COMMON</x:v>
      </x:c>
    </x:row>
    <x:row r="31" ht="67.5" customHeight="1">
      <x:c r="A31" s="14" t="str">
        <x:v>STD-030</x:v>
      </x:c>
      <x:c r="B31" s="11" t="str">
        <x:v>标准工作流</x:v>
      </x:c>
      <x:c r="C31" s="18" t="str">
        <x:v>M-STD-030</x:v>
      </x:c>
      <x:c r="D31" s="11" t="str">
        <x:v>12mWarren类桁架</x:v>
      </x:c>
      <x:c r="E31" s="11" t="str">
        <x:v>桁架</x:v>
      </x:c>
      <x:c r="F31" s="18" t="str">
        <x:v>2D</x:v>
      </x:c>
      <x:c r="G31" s="11" t="str">
        <x:v>交替斜杆与下弦加载</x:v>
      </x:c>
      <x:c r="H31" s="18" t="str">
        <x:v>L2</x:v>
      </x:c>
      <x:c r="I31" s="11" t="str">
        <x:v>腹杆交替方向与下弦受力点需同时还原，名称不能替代连接表。</x:v>
      </x:c>
      <x:c r="J31" s="18" t="str">
        <x:v>英文</x:v>
      </x:c>
      <x:c r="K31" s="11" t="str">
        <x:v>完整文字任务 + 随题分析属性表（待编制）</x:v>
      </x:c>
      <x:c r="L31" s="22" t="n">
        <x:v>1</x:v>
      </x:c>
      <x:c r="M31" s="11" t="str">
        <x:v>跨度12m、高2m、6节间，明确竖杆与交替斜杆，内部下弦节点各8kN；完整属性按公共契约随题给出。 六节间斜杆按B0-T1、T1-B2等明示序列布置，每个节间线有竖杆。</x:v>
      </x:c>
      <x:c r="N31" s="11" t="str">
        <x:v>下弦加载与斜杆方向</x:v>
      </x:c>
      <x:c r="O31" s="11" t="str">
        <x:v>五个受载下弦节点位移、斜杆/竖杆轴力及支反力。</x:v>
      </x:c>
      <x:c r="P31" s="11" t="str">
        <x:v>下弦加载与斜杆方向；指定位置/分量对照数值真值，输出文字与结构化结果保持符号、单位和工况一致。</x:v>
      </x:c>
      <x:c r="Q31" s="18" t="str">
        <x:v>旧题改编</x:v>
      </x:c>
      <x:c r="R31" s="11" t="str">
        <x:v>truss-warren-en</x:v>
      </x:c>
      <x:c r="S31" s="11" t="str">
        <x:v>无</x:v>
      </x:c>
      <x:c r="T31" s="11" t="str">
        <x:v>保留旧题主要几何与荷载，显式补齐单位、自重、观测位置和结果评分；新契约下须重新核验真值。</x:v>
      </x:c>
      <x:c r="U31" s="11" t="str">
        <x:v>拟建立独立审定的 OpenSees 模型及同版本/同设置参考结果；独立矩阵杆系解；逐杆方向余弦和节点平衡交叉核验。 参考值尚未生成。 所有题定输出均须覆盖，校核实现不复用被测转换链路。</x:v>
      </x:c>
      <x:c r="V31" s="11" t="str">
        <x:v>基础工具；完整题面、参数/单位契约与真值待验证</x:v>
      </x:c>
      <x:c r="W31" s="11" t="str">
        <x:v>规划，待编题与验证</x:v>
      </x:c>
      <x:c r="X31" s="11" t="str">
        <x:v>OpenSees</x:v>
      </x:c>
      <x:c r="Y31" s="18" t="str">
        <x:v>OpenSees</x:v>
      </x:c>
      <x:c r="Z31" s="11" t="str">
        <x:v>二维或三维轴力杆系任务，采用 OpenSees；不扩造建筑楼层来适配商业入口。 本题重点：下弦加载与斜杆方向。</x:v>
      </x:c>
      <x:c r="AA31" s="11" t="str">
        <x:v>拟要求真实 OpenSees 求解，保存输入与原始结果的对应关系；解析式/独立矩阵解用于校核，不能替代规定引擎执行证据。</x:v>
      </x:c>
      <x:c r="AB31" s="11" t="str">
        <x:v>待逐题验证</x:v>
      </x:c>
      <x:c r="AC31" s="11" t="str">
        <x:v>逐题核验下弦加载与斜杆方向；输入、结果分量/位置及数值标答尚未完成验收。 当前无据认定接口不支持；需实际能力测试后确定，不将未验证能力记为模型失败。</x:v>
      </x:c>
      <x:c r="AD3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1" s="11" t="str">
        <x:v>拟保存（尚未生成）：OpenSees 版本、可运行模型/脚本、节点构件和荷载表、实际计算日志、原始结果与工况索引、平衡/独立解校核记录。</x:v>
      </x:c>
      <x:c r="AF31" s="11" t="str">
        <x:v>OPS；COMMON</x:v>
      </x:c>
    </x:row>
    <x:row r="32" ht="67.5" customHeight="1">
      <x:c r="A32" s="15" t="str">
        <x:v>STD-031</x:v>
      </x:c>
      <x:c r="B32" s="6" t="str">
        <x:v>标准工作流</x:v>
      </x:c>
      <x:c r="C32" s="19" t="str">
        <x:v>M-STD-031</x:v>
      </x:c>
      <x:c r="D32" s="6" t="str">
        <x:v>18m平行弦屋架</x:v>
      </x:c>
      <x:c r="E32" s="6" t="str">
        <x:v>桁架</x:v>
      </x:c>
      <x:c r="F32" s="19" t="str">
        <x:v>2D</x:v>
      </x:c>
      <x:c r="G32" s="6" t="str">
        <x:v>规则平行弦屋架</x:v>
      </x:c>
      <x:c r="H32" s="19" t="str">
        <x:v>L2</x:v>
      </x:c>
      <x:c r="I32" s="6" t="str">
        <x:v>需区分平行弦外轮廓与三角屋架，且保留端部竖杆。</x:v>
      </x:c>
      <x:c r="J32" s="19" t="str">
        <x:v>中文</x:v>
      </x:c>
      <x:c r="K32" s="6" t="str">
        <x:v>完整文字任务 + 随题分析属性表（待编制）</x:v>
      </x:c>
      <x:c r="L32" s="23" t="n">
        <x:v>1</x:v>
      </x:c>
      <x:c r="M32" s="6" t="str">
        <x:v>跨度18m、高3m、6节间，交替腹杆，上弦内部节点各12kN；完整属性按公共契约随题给出。 六节间上弦内节点各12kN，交替腹杆和端部竖杆都在连接表中。</x:v>
      </x:c>
      <x:c r="N32" s="6" t="str">
        <x:v>上弦荷载及竖杆完整性</x:v>
      </x:c>
      <x:c r="O32" s="6" t="str">
        <x:v>上弦受载点位移、弦杆及腹杆轴力、支反力。</x:v>
      </x:c>
      <x:c r="P32" s="6" t="str">
        <x:v>上弦荷载及竖杆完整性；指定位置/分量对照数值真值，输出文字与结构化结果保持符号、单位和工况一致。</x:v>
      </x:c>
      <x:c r="Q32" s="19" t="str">
        <x:v>旧题改编</x:v>
      </x:c>
      <x:c r="R32" s="6" t="str">
        <x:v>truss-roof-en</x:v>
      </x:c>
      <x:c r="S32" s="6" t="str">
        <x:v>无</x:v>
      </x:c>
      <x:c r="T32" s="6" t="str">
        <x:v>保留旧题主要几何与荷载，显式补齐单位、自重、观测位置和结果评分；新契约下须重新核验真值。</x:v>
      </x:c>
      <x:c r="U32" s="6" t="str">
        <x:v>拟建立独立审定的 OpenSees 模型及同版本/同设置参考结果；独立轴力杆系解与节点平衡；单位荷载法复核一个上弦位移。 参考值尚未生成。 所有题定输出均须覆盖，校核实现不复用被测转换链路。</x:v>
      </x:c>
      <x:c r="V32" s="6" t="str">
        <x:v>基础工具；完整题面、参数/单位契约与真值待验证</x:v>
      </x:c>
      <x:c r="W32" s="6" t="str">
        <x:v>规划，待编题与验证</x:v>
      </x:c>
      <x:c r="X32" s="6" t="str">
        <x:v>OpenSees</x:v>
      </x:c>
      <x:c r="Y32" s="19" t="str">
        <x:v>OpenSees</x:v>
      </x:c>
      <x:c r="Z32" s="6" t="str">
        <x:v>二维或三维轴力杆系任务，采用 OpenSees；不扩造建筑楼层来适配商业入口。 本题重点：上弦荷载及竖杆完整性。</x:v>
      </x:c>
      <x:c r="AA32" s="6" t="str">
        <x:v>拟要求真实 OpenSees 求解，保存输入与原始结果的对应关系；解析式/独立矩阵解用于校核，不能替代规定引擎执行证据。</x:v>
      </x:c>
      <x:c r="AB32" s="6" t="str">
        <x:v>待逐题验证</x:v>
      </x:c>
      <x:c r="AC32" s="6" t="str">
        <x:v>逐题核验上弦荷载及竖杆完整性；输入、结果分量/位置及数值标答尚未完成验收。 当前无据认定接口不支持；需实际能力测试后确定，不将未验证能力记为模型失败。</x:v>
      </x:c>
      <x:c r="AD32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2" s="6" t="str">
        <x:v>拟保存（尚未生成）：OpenSees 版本、可运行模型/脚本、节点构件和荷载表、实际计算日志、原始结果与工况索引、平衡/独立解校核记录。</x:v>
      </x:c>
      <x:c r="AF32" s="6" t="str">
        <x:v>OPS；COMMON</x:v>
      </x:c>
    </x:row>
    <x:row r="33" ht="67.5" customHeight="1">
      <x:c r="A33" s="14" t="str">
        <x:v>STD-032</x:v>
      </x:c>
      <x:c r="B33" s="11" t="str">
        <x:v>标准工作流</x:v>
      </x:c>
      <x:c r="C33" s="18" t="str">
        <x:v>M-STD-032</x:v>
      </x:c>
      <x:c r="D33" s="11" t="str">
        <x:v>15m非整数顶点三角屋架</x:v>
      </x:c>
      <x:c r="E33" s="11" t="str">
        <x:v>桁架</x:v>
      </x:c>
      <x:c r="F33" s="18" t="str">
        <x:v>2D</x:v>
      </x:c>
      <x:c r="G33" s="11" t="str">
        <x:v>非整节间顶点</x:v>
      </x:c>
      <x:c r="H33" s="18" t="str">
        <x:v>L2</x:v>
      </x:c>
      <x:c r="I33" s="11" t="str">
        <x:v>屋脊不落在下弦网格线上，不能自动合并或均分顶点。</x:v>
      </x:c>
      <x:c r="J33" s="18" t="str">
        <x:v>英文</x:v>
      </x:c>
      <x:c r="K33" s="11" t="str">
        <x:v>完整文字任务 + 随题分析属性表（待编制）</x:v>
      </x:c>
      <x:c r="L33" s="22" t="n">
        <x:v>1</x:v>
      </x:c>
      <x:c r="M33" s="11" t="str">
        <x:v>跨度15m、顶点x=7.5m高2.5m，按旧题连接，五个上弦节点各10kN；完整属性按公共契约随题给出。 屋脊x=7.5m独立于3m下弦分格；上弦坐标和所有腹杆端点单独列出。</x:v>
      </x:c>
      <x:c r="N33" s="11" t="str">
        <x:v>顶点不在整节间及腹杆连接</x:v>
      </x:c>
      <x:c r="O33" s="11" t="str">
        <x:v>五个上弦受载点位移、脊点相连杆件轴力、支反力。</x:v>
      </x:c>
      <x:c r="P33" s="11" t="str">
        <x:v>顶点不在整节间及腹杆连接；指定位置/分量对照数值真值，输出文字与结构化结果保持符号、单位和工况一致。</x:v>
      </x:c>
      <x:c r="Q33" s="18" t="str">
        <x:v>旧题改编</x:v>
      </x:c>
      <x:c r="R33" s="11" t="str">
        <x:v>std-truss-tri-en</x:v>
      </x:c>
      <x:c r="S33" s="11" t="str">
        <x:v>无</x:v>
      </x:c>
      <x:c r="T33" s="11" t="str">
        <x:v>保留旧题主要几何与荷载，显式补齐单位、自重、观测位置和结果评分；新契约下须重新核验真值。</x:v>
      </x:c>
      <x:c r="U33" s="11" t="str">
        <x:v>拟建立独立审定的 OpenSees 模型及同版本/同设置参考结果；独立桁架刚度法；核验屋脊坐标与端点集合，平衡和单位荷载复核。 参考值尚未生成。 所有题定输出均须覆盖，校核实现不复用被测转换链路。</x:v>
      </x:c>
      <x:c r="V33" s="11" t="str">
        <x:v>基础工具；完整题面、参数/单位契约与真值待验证</x:v>
      </x:c>
      <x:c r="W33" s="11" t="str">
        <x:v>规划，待编题与验证</x:v>
      </x:c>
      <x:c r="X33" s="11" t="str">
        <x:v>OpenSees</x:v>
      </x:c>
      <x:c r="Y33" s="18" t="str">
        <x:v>OpenSees</x:v>
      </x:c>
      <x:c r="Z33" s="11" t="str">
        <x:v>二维或三维轴力杆系任务，采用 OpenSees；不扩造建筑楼层来适配商业入口。 本题重点：顶点不在整节间及腹杆连接。</x:v>
      </x:c>
      <x:c r="AA33" s="11" t="str">
        <x:v>拟要求真实 OpenSees 求解，保存输入与原始结果的对应关系；解析式/独立矩阵解用于校核，不能替代规定引擎执行证据。</x:v>
      </x:c>
      <x:c r="AB33" s="11" t="str">
        <x:v>待逐题验证</x:v>
      </x:c>
      <x:c r="AC33" s="11" t="str">
        <x:v>逐题核验顶点不在整节间及腹杆连接；输入、结果分量/位置及数值标答尚未完成验收。 当前无据认定接口不支持；需实际能力测试后确定，不将未验证能力记为模型失败。</x:v>
      </x:c>
      <x:c r="AD3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3" s="11" t="str">
        <x:v>拟保存（尚未生成）：OpenSees 版本、可运行模型/脚本、节点构件和荷载表、实际计算日志、原始结果与工况索引、平衡/独立解校核记录。</x:v>
      </x:c>
      <x:c r="AF33" s="11" t="str">
        <x:v>OPS；COMMON</x:v>
      </x:c>
    </x:row>
    <x:row r="34" ht="67.5" customHeight="1">
      <x:c r="A34" s="15" t="str">
        <x:v>STD-033</x:v>
      </x:c>
      <x:c r="B34" s="6" t="str">
        <x:v>标准工作流</x:v>
      </x:c>
      <x:c r="C34" s="19" t="str">
        <x:v>M-STD-033</x:v>
      </x:c>
      <x:c r="D34" s="6" t="str">
        <x:v>平行弦三角腹杆桁架</x:v>
      </x:c>
      <x:c r="E34" s="6" t="str">
        <x:v>桁架</x:v>
      </x:c>
      <x:c r="F34" s="19" t="str">
        <x:v>2D</x:v>
      </x:c>
      <x:c r="G34" s="6" t="str">
        <x:v>名称与真实拓扑分离</x:v>
      </x:c>
      <x:c r="H34" s="19" t="str">
        <x:v>L2</x:v>
      </x:c>
      <x:c r="I34" s="6" t="str">
        <x:v>tri只指三角腹杆形式；错误生成三角外轮廓会改变模型。</x:v>
      </x:c>
      <x:c r="J34" s="19" t="str">
        <x:v>中文</x:v>
      </x:c>
      <x:c r="K34" s="6" t="str">
        <x:v>完整文字任务 + 随题分析属性表（待编制）</x:v>
      </x:c>
      <x:c r="L34" s="23" t="n">
        <x:v>1</x:v>
      </x:c>
      <x:c r="M34" s="6" t="str">
        <x:v>跨度15m、高2.5m、5节间，12节点21杆，内部下弦节点各10kN；完整属性按公共契约随题给出。 将旧DXF内容转成节点/杆件文字表，保留12节点21杆和平行弦外形。</x:v>
      </x:c>
      <x:c r="N34" s="6" t="str">
        <x:v>三角腹杆不等于三角外轮廓</x:v>
      </x:c>
      <x:c r="O34" s="6" t="str">
        <x:v>四个内部下弦节点位移、全部杆轴力和支反力。</x:v>
      </x:c>
      <x:c r="P34" s="6" t="str">
        <x:v>三角腹杆不等于三角外轮廓；指定位置/分量对照数值真值，输出文字与结构化结果保持符号、单位和工况一致。</x:v>
      </x:c>
      <x:c r="Q34" s="19" t="str">
        <x:v>旧题改编</x:v>
      </x:c>
      <x:c r="R34" s="6" t="str">
        <x:v>re-dxf-truss-simple-tri</x:v>
      </x:c>
      <x:c r="S34" s="6" t="str">
        <x:v>无</x:v>
      </x:c>
      <x:c r="T34" s="6" t="str">
        <x:v>将旧题的工程模型移植为完整文字建模任务；去除图片识别或更新流程，新增模型/数值/展示评分。</x:v>
      </x:c>
      <x:c r="U34" s="6" t="str">
        <x:v>拟建立独立审定的 OpenSees 模型及同版本/同设置参考结果；沿用旧模型作几何种子，文字移植后独立组装桁架矩阵并复核节点平衡。 参考值尚未生成。 所有题定输出均须覆盖，校核实现不复用被测转换链路。</x:v>
      </x:c>
      <x:c r="V34" s="6" t="str">
        <x:v>基础工具；完整题面、参数/单位契约与真值待验证</x:v>
      </x:c>
      <x:c r="W34" s="6" t="str">
        <x:v>规划，待编题与验证</x:v>
      </x:c>
      <x:c r="X34" s="6" t="str">
        <x:v>OpenSees</x:v>
      </x:c>
      <x:c r="Y34" s="19" t="str">
        <x:v>OpenSees</x:v>
      </x:c>
      <x:c r="Z34" s="6" t="str">
        <x:v>二维或三维轴力杆系任务，采用 OpenSees；不扩造建筑楼层来适配商业入口。 本题重点：三角腹杆不等于三角外轮廓。</x:v>
      </x:c>
      <x:c r="AA34" s="6" t="str">
        <x:v>拟要求真实 OpenSees 求解，保存输入与原始结果的对应关系；解析式/独立矩阵解用于校核，不能替代规定引擎执行证据。</x:v>
      </x:c>
      <x:c r="AB34" s="6" t="str">
        <x:v>待逐题验证</x:v>
      </x:c>
      <x:c r="AC34" s="6" t="str">
        <x:v>逐题核验三角腹杆不等于三角外轮廓；输入、结果分量/位置及数值标答尚未完成验收。 当前无据认定接口不支持；需实际能力测试后确定，不将未验证能力记为模型失败。</x:v>
      </x:c>
      <x:c r="AD3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4" s="6" t="str">
        <x:v>拟保存（尚未生成）：OpenSees 版本、可运行模型/脚本、节点构件和荷载表、实际计算日志、原始结果与工况索引、平衡/独立解校核记录。</x:v>
      </x:c>
      <x:c r="AF34" s="6" t="str">
        <x:v>OPS；COMMON</x:v>
      </x:c>
    </x:row>
    <x:row r="35" ht="67.5" customHeight="1">
      <x:c r="A35" s="14" t="str">
        <x:v>STD-034</x:v>
      </x:c>
      <x:c r="B35" s="11" t="str">
        <x:v>标准工作流</x:v>
      </x:c>
      <x:c r="C35" s="18" t="str">
        <x:v>M-STD-034</x:v>
      </x:c>
      <x:c r="D35" s="11" t="str">
        <x:v>反向腹杆的Howe类桁架</x:v>
      </x:c>
      <x:c r="E35" s="11" t="str">
        <x:v>桁架</x:v>
      </x:c>
      <x:c r="F35" s="18" t="str">
        <x:v>2D</x:v>
      </x:c>
      <x:c r="G35" s="11" t="str">
        <x:v>反向腹杆拓扑</x:v>
      </x:c>
      <x:c r="H35" s="18" t="str">
        <x:v>L2</x:v>
      </x:c>
      <x:c r="I35" s="11" t="str">
        <x:v>与Pratt外形接近但连接方向不同，需要按端点对应而非识别标签。</x:v>
      </x:c>
      <x:c r="J35" s="18" t="str">
        <x:v>英文</x:v>
      </x:c>
      <x:c r="K35" s="11" t="str">
        <x:v>完整文字任务 + 随题分析属性表（待编制）</x:v>
      </x:c>
      <x:c r="L35" s="22" t="n">
        <x:v>1</x:v>
      </x:c>
      <x:c r="M35" s="11" t="str">
        <x:v>跨度16m、高2.4m、4节间，连接表指定与Pratt相反的斜杆，三个内部上弦节点各12kN，两端上弦不加载；完整属性按公共契约随题给出。 4个节间斜杆按反向端点表给定，两端竖杆保留；不依赖Howe名称推断。</x:v>
      </x:c>
      <x:c r="N35" s="11" t="str">
        <x:v>名称相似而斜杆端点不同</x:v>
      </x:c>
      <x:c r="O35" s="11" t="str">
        <x:v>三个内部上弦受载点位移、各斜杆轴力及支反力。</x:v>
      </x:c>
      <x:c r="P35" s="11" t="str">
        <x:v>名称相似而斜杆端点不同；指定位置/分量对照数值真值，输出文字与结构化结果保持符号、单位和工况一致。</x:v>
      </x:c>
      <x:c r="Q35" s="18" t="str">
        <x:v>新增</x:v>
      </x:c>
      <x:c r="R35" s="11" t="str">
        <x:v>无</x:v>
      </x:c>
      <x:c r="S35" s="11" t="str">
        <x:v>无</x:v>
      </x:c>
      <x:c r="T35" s="11" t="str">
        <x:v>新增工程场景；母模型、提示词和真值均待建立。</x:v>
      </x:c>
      <x:c r="U35" s="11" t="str">
        <x:v>拟建立独立审定的 OpenSees 模型及同版本/同设置参考结果；独立杆系刚度法；与误反斜杆模型做敏感性检查，正确模型按节点平衡验证。 参考值尚未生成。 所有题定输出均须覆盖，校核实现不复用被测转换链路。</x:v>
      </x:c>
      <x:c r="V35" s="11" t="str">
        <x:v>基础工具；完整题面、参数/单位契约与真值待验证</x:v>
      </x:c>
      <x:c r="W35" s="11" t="str">
        <x:v>规划，待编题与验证</x:v>
      </x:c>
      <x:c r="X35" s="11" t="str">
        <x:v>OpenSees</x:v>
      </x:c>
      <x:c r="Y35" s="18" t="str">
        <x:v>OpenSees</x:v>
      </x:c>
      <x:c r="Z35" s="11" t="str">
        <x:v>二维或三维轴力杆系任务，采用 OpenSees；不扩造建筑楼层来适配商业入口。 本题重点：名称相似而斜杆端点不同。</x:v>
      </x:c>
      <x:c r="AA35" s="11" t="str">
        <x:v>拟要求真实 OpenSees 求解，保存输入与原始结果的对应关系；解析式/独立矩阵解用于校核，不能替代规定引擎执行证据。</x:v>
      </x:c>
      <x:c r="AB35" s="11" t="str">
        <x:v>待逐题验证</x:v>
      </x:c>
      <x:c r="AC35" s="11" t="str">
        <x:v>逐题核验名称相似而斜杆端点不同；输入、结果分量/位置及数值标答尚未完成验收。 当前无据认定接口不支持；需实际能力测试后确定，不将未验证能力记为模型失败。</x:v>
      </x:c>
      <x:c r="AD3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5" s="11" t="str">
        <x:v>拟保存（尚未生成）：OpenSees 版本、可运行模型/脚本、节点构件和荷载表、实际计算日志、原始结果与工况索引、平衡/独立解校核记录。</x:v>
      </x:c>
      <x:c r="AF35" s="11" t="str">
        <x:v>OPS；COMMON</x:v>
      </x:c>
    </x:row>
    <x:row r="36" ht="67.5" customHeight="1">
      <x:c r="A36" s="15" t="str">
        <x:v>STD-035</x:v>
      </x:c>
      <x:c r="B36" s="6" t="str">
        <x:v>标准工作流</x:v>
      </x:c>
      <x:c r="C36" s="19" t="str">
        <x:v>M-STD-035</x:v>
      </x:c>
      <x:c r="D36" s="6" t="str">
        <x:v>K形腹杆桁架局部加载</x:v>
      </x:c>
      <x:c r="E36" s="6" t="str">
        <x:v>桁架</x:v>
      </x:c>
      <x:c r="F36" s="19" t="str">
        <x:v>2D</x:v>
      </x:c>
      <x:c r="G36" s="6" t="str">
        <x:v>K腹杆内部节点</x:v>
      </x:c>
      <x:c r="H36" s="19" t="str">
        <x:v>L3</x:v>
      </x:c>
      <x:c r="I36" s="6" t="str">
        <x:v>竖杆中点是真实连接节点，且局部载荷破坏对称性。</x:v>
      </x:c>
      <x:c r="J36" s="19" t="str">
        <x:v>中文</x:v>
      </x:c>
      <x:c r="K36" s="6" t="str">
        <x:v>完整文字任务 + 随题分析属性表（待编制）</x:v>
      </x:c>
      <x:c r="L36" s="23" t="n">
        <x:v>1</x:v>
      </x:c>
      <x:c r="M36" s="6" t="str">
        <x:v>跨度18m、高3m、6节间，竖杆中点与K腹杆明确连接，仅x=3m与6m上弦节点加载；完整属性按公共契约随题给出。 逐一给竖杆中点坐标与K形杆端点；仅x=3m与6m两个上弦节点各向下12kN。</x:v>
      </x:c>
      <x:c r="N36" s="6" t="str">
        <x:v>中间连接节点与局部荷载范围</x:v>
      </x:c>
      <x:c r="O36" s="6" t="str">
        <x:v>受载节点位移、每支K腹杆轴力、所有支座反力。</x:v>
      </x:c>
      <x:c r="P36" s="6" t="str">
        <x:v>中间连接节点与局部荷载范围；指定位置/分量对照数值真值，输出文字与结构化结果保持符号、单位和工况一致。</x:v>
      </x:c>
      <x:c r="Q36" s="19" t="str">
        <x:v>新增</x:v>
      </x:c>
      <x:c r="R36" s="6" t="str">
        <x:v>无</x:v>
      </x:c>
      <x:c r="S36" s="6" t="str">
        <x:v>无</x:v>
      </x:c>
      <x:c r="T36" s="6" t="str">
        <x:v>新增工程场景；母模型、提示词和真值均待建立。</x:v>
      </x:c>
      <x:c r="U36" s="6" t="str">
        <x:v>拟建立独立审定的 OpenSees 模型及同版本/同设置参考结果；先做独立约束后刚度秩检查排除机构，再双实现杆系解与节点平衡。 参考值尚未生成。 所有题定输出均须覆盖，校核实现不复用被测转换链路。</x:v>
      </x:c>
      <x:c r="V36" s="6" t="str">
        <x:v>机构与连通性需独立验证；完整题面、参数/单位契约与真值待验证</x:v>
      </x:c>
      <x:c r="W36" s="6" t="str">
        <x:v>规划，待编题与验证</x:v>
      </x:c>
      <x:c r="X36" s="6" t="str">
        <x:v>OpenSees</x:v>
      </x:c>
      <x:c r="Y36" s="19" t="str">
        <x:v>OpenSees</x:v>
      </x:c>
      <x:c r="Z36" s="6" t="str">
        <x:v>二维或三维轴力杆系任务，采用 OpenSees；不扩造建筑楼层来适配商业入口。 本题重点：中间连接节点与局部荷载范围。</x:v>
      </x:c>
      <x:c r="AA36" s="6" t="str">
        <x:v>拟要求真实 OpenSees 求解，保存输入与原始结果的对应关系；解析式/独立矩阵解用于校核，不能替代规定引擎执行证据。</x:v>
      </x:c>
      <x:c r="AB36" s="6" t="str">
        <x:v>待逐题验证</x:v>
      </x:c>
      <x:c r="AC36" s="6" t="str">
        <x:v>K 形连接表与竖杆中点连通性、约束后刚度秩需先验验证。 当前无据认定接口不支持；需实际能力测试后确定，不将未验证能力记为模型失败。</x:v>
      </x:c>
      <x:c r="AD3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6" s="6" t="str">
        <x:v>拟保存（尚未生成）：OpenSees 版本、可运行模型/脚本、节点构件和荷载表、实际计算日志、原始结果与工况索引、平衡/独立解校核记录。</x:v>
      </x:c>
      <x:c r="AF36" s="6" t="str">
        <x:v>OPS；COMMON</x:v>
      </x:c>
    </x:row>
    <x:row r="37" ht="67.5" customHeight="1">
      <x:c r="A37" s="14" t="str">
        <x:v>STD-036</x:v>
      </x:c>
      <x:c r="B37" s="11" t="str">
        <x:v>标准工作流</x:v>
      </x:c>
      <x:c r="C37" s="18" t="str">
        <x:v>M-STD-036</x:v>
      </x:c>
      <x:c r="D37" s="11" t="str">
        <x:v>双斜杆交叉但不设节点</x:v>
      </x:c>
      <x:c r="E37" s="11" t="str">
        <x:v>桁架</x:v>
      </x:c>
      <x:c r="F37" s="18" t="str">
        <x:v>2D</x:v>
      </x:c>
      <x:c r="G37" s="11" t="str">
        <x:v>交叉不连接的杆系</x:v>
      </x:c>
      <x:c r="H37" s="18" t="str">
        <x:v>L3</x:v>
      </x:c>
      <x:c r="I37" s="11" t="str">
        <x:v>几何相交与力学连接不同；重复分段会改变刚度和拓扑。</x:v>
      </x:c>
      <x:c r="J37" s="18" t="str">
        <x:v>英文</x:v>
      </x:c>
      <x:c r="K37" s="11" t="str">
        <x:v>完整文字任务 + 随题分析属性表（待编制）</x:v>
      </x:c>
      <x:c r="L37" s="22" t="n">
        <x:v>1</x:v>
      </x:c>
      <x:c r="M37" s="11" t="str">
        <x:v>跨度12m、高2.5m、4节间，各格X腹杆交叉处明确不连接，三个内部上弦节点各10kN；完整属性按公共契约随题给出。 各格X形腹杆交叉处明确没有节点；每个内部顶点向下10kN，保留轴力杆属性。</x:v>
      </x:c>
      <x:c r="N37" s="11" t="str">
        <x:v>交叉线不自动成结构节点</x:v>
      </x:c>
      <x:c r="O37" s="11" t="str">
        <x:v>顶点位移、两组交叉斜杆轴力、支反力；附交叉点不连接说明。</x:v>
      </x:c>
      <x:c r="P37" s="11" t="str">
        <x:v>交叉线不自动成结构节点；指定位置/分量对照数值真值，输出文字与结构化结果保持符号、单位和工况一致。</x:v>
      </x:c>
      <x:c r="Q37" s="18" t="str">
        <x:v>新增</x:v>
      </x:c>
      <x:c r="R37" s="11" t="str">
        <x:v>无</x:v>
      </x:c>
      <x:c r="S37" s="11" t="str">
        <x:v>无</x:v>
      </x:c>
      <x:c r="T37" s="11" t="str">
        <x:v>新增工程场景；母模型、提示词和真值均待建立。</x:v>
      </x:c>
      <x:c r="U37" s="11" t="str">
        <x:v>拟建立独立审定的 OpenSees 模型及同版本/同设置参考结果；按端点表独立组装；检查交叉点无新增自由度，逐节点与整体平衡复核。 参考值尚未生成。 所有题定输出均须覆盖，校核实现不复用被测转换链路。</x:v>
      </x:c>
      <x:c r="V37" s="11" t="str">
        <x:v>基础工具；完整题面、参数/单位契约与真值待验证</x:v>
      </x:c>
      <x:c r="W37" s="11" t="str">
        <x:v>规划，待编题与验证</x:v>
      </x:c>
      <x:c r="X37" s="11" t="str">
        <x:v>OpenSees</x:v>
      </x:c>
      <x:c r="Y37" s="18" t="str">
        <x:v>OpenSees</x:v>
      </x:c>
      <x:c r="Z37" s="11" t="str">
        <x:v>二维或三维轴力杆系任务，采用 OpenSees；不扩造建筑楼层来适配商业入口。 本题重点：交叉线不自动成结构节点。</x:v>
      </x:c>
      <x:c r="AA37" s="11" t="str">
        <x:v>拟要求真实 OpenSees 求解，保存输入与原始结果的对应关系；解析式/独立矩阵解用于校核，不能替代规定引擎执行证据。</x:v>
      </x:c>
      <x:c r="AB37" s="11" t="str">
        <x:v>待逐题验证</x:v>
      </x:c>
      <x:c r="AC37" s="11" t="str">
        <x:v>交叉杆端点不相同则不生成交点；须核验无额外节点或刚接。 当前无据认定接口不支持；需实际能力测试后确定，不将未验证能力记为模型失败。</x:v>
      </x:c>
      <x:c r="AD3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7" s="11" t="str">
        <x:v>拟保存（尚未生成）：OpenSees 版本、可运行模型/脚本、节点构件和荷载表、实际计算日志、原始结果与工况索引、平衡/独立解校核记录。</x:v>
      </x:c>
      <x:c r="AF37" s="11" t="str">
        <x:v>OPS；COMMON</x:v>
      </x:c>
    </x:row>
    <x:row r="38" ht="67.5" customHeight="1">
      <x:c r="A38" s="15" t="str">
        <x:v>STD-037</x:v>
      </x:c>
      <x:c r="B38" s="6" t="str">
        <x:v>标准工作流</x:v>
      </x:c>
      <x:c r="C38" s="19" t="str">
        <x:v>M-STD-037</x:v>
      </x:c>
      <x:c r="D38" s="6" t="str">
        <x:v>不等节间平行弦桁架</x:v>
      </x:c>
      <x:c r="E38" s="6" t="str">
        <x:v>桁架</x:v>
      </x:c>
      <x:c r="F38" s="19" t="str">
        <x:v>2D</x:v>
      </x:c>
      <x:c r="G38" s="6" t="str">
        <x:v>不等节间与不等节点力</x:v>
      </x:c>
      <x:c r="H38" s="19" t="str">
        <x:v>L2</x:v>
      </x:c>
      <x:c r="I38" s="6" t="str">
        <x:v>坐标需要累计跨距，荷载列表不能按大小重新排列。</x:v>
      </x:c>
      <x:c r="J38" s="19" t="str">
        <x:v>中文</x:v>
      </x:c>
      <x:c r="K38" s="6" t="str">
        <x:v>完整文字任务 + 随题分析属性表（待编制）</x:v>
      </x:c>
      <x:c r="L38" s="23" t="n">
        <x:v>1</x:v>
      </x:c>
      <x:c r="M38" s="6" t="str">
        <x:v>节间2、3、4、3m，高2.2m，显式节点表，上弦不等节点荷载；完整属性按公共契约随题给出。 下弦x=0/2/5/9/12m；内部上弦在x=2/5/9m分别向下10/18/12kN。</x:v>
      </x:c>
      <x:c r="N38" s="6" t="str">
        <x:v>不等节间坐标累加和载荷对应</x:v>
      </x:c>
      <x:c r="O38" s="6" t="str">
        <x:v>三个受载点位移、各弦杆/斜杆轴力及支反力。</x:v>
      </x:c>
      <x:c r="P38" s="6" t="str">
        <x:v>不等节间坐标累加和载荷对应；指定位置/分量对照数值真值，输出文字与结构化结果保持符号、单位和工况一致。</x:v>
      </x:c>
      <x:c r="Q38" s="19" t="str">
        <x:v>新增</x:v>
      </x:c>
      <x:c r="R38" s="6" t="str">
        <x:v>无</x:v>
      </x:c>
      <x:c r="S38" s="6" t="str">
        <x:v>无</x:v>
      </x:c>
      <x:c r="T38" s="6" t="str">
        <x:v>新增工程场景；母模型、提示词和真值均待建立。</x:v>
      </x:c>
      <x:c r="U38" s="6" t="str">
        <x:v>拟建立独立审定的 OpenSees 模型及同版本/同设置参考结果；独立桁架矩阵解；荷载合力及作用点力矩校验，节点平衡复核。 参考值尚未生成。 所有题定输出均须覆盖，校核实现不复用被测转换链路。</x:v>
      </x:c>
      <x:c r="V38" s="6" t="str">
        <x:v>基础工具；完整题面、参数/单位契约与真值待验证</x:v>
      </x:c>
      <x:c r="W38" s="6" t="str">
        <x:v>规划，待编题与验证</x:v>
      </x:c>
      <x:c r="X38" s="6" t="str">
        <x:v>OpenSees</x:v>
      </x:c>
      <x:c r="Y38" s="19" t="str">
        <x:v>OpenSees</x:v>
      </x:c>
      <x:c r="Z38" s="6" t="str">
        <x:v>二维或三维轴力杆系任务，采用 OpenSees；不扩造建筑楼层来适配商业入口。 本题重点：不等节间坐标累加和载荷对应。</x:v>
      </x:c>
      <x:c r="AA38" s="6" t="str">
        <x:v>拟要求真实 OpenSees 求解，保存输入与原始结果的对应关系；解析式/独立矩阵解用于校核，不能替代规定引擎执行证据。</x:v>
      </x:c>
      <x:c r="AB38" s="6" t="str">
        <x:v>待逐题验证</x:v>
      </x:c>
      <x:c r="AC38" s="6" t="str">
        <x:v>逐题核验不等节间坐标累加和载荷对应；输入、结果分量/位置及数值标答尚未完成验收。 当前无据认定接口不支持；需实际能力测试后确定，不将未验证能力记为模型失败。</x:v>
      </x:c>
      <x:c r="AD3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8" s="6" t="str">
        <x:v>拟保存（尚未生成）：OpenSees 版本、可运行模型/脚本、节点构件和荷载表、实际计算日志、原始结果与工况索引、平衡/独立解校核记录。</x:v>
      </x:c>
      <x:c r="AF38" s="6" t="str">
        <x:v>OPS；COMMON</x:v>
      </x:c>
    </x:row>
    <x:row r="39" ht="67.5" customHeight="1">
      <x:c r="A39" s="14" t="str">
        <x:v>STD-038</x:v>
      </x:c>
      <x:c r="B39" s="11" t="str">
        <x:v>标准工作流</x:v>
      </x:c>
      <x:c r="C39" s="18" t="str">
        <x:v>M-STD-038</x:v>
      </x:c>
      <x:c r="D39" s="11" t="str">
        <x:v>单坡上弦与非对称腹杆</x:v>
      </x:c>
      <x:c r="E39" s="11" t="str">
        <x:v>桁架</x:v>
      </x:c>
      <x:c r="F39" s="18" t="str">
        <x:v>2D</x:v>
      </x:c>
      <x:c r="G39" s="11" t="str">
        <x:v>非对称轮廓与非模板连接</x:v>
      </x:c>
      <x:c r="H39" s="18" t="str">
        <x:v>L3</x:v>
      </x:c>
      <x:c r="I39" s="11" t="str">
        <x:v>几何、连接和偏载均不对称，规则模板无法覆盖。</x:v>
      </x:c>
      <x:c r="J39" s="18" t="str">
        <x:v>英文</x:v>
      </x:c>
      <x:c r="K39" s="11" t="str">
        <x:v>完整文字任务 + 随题分析属性表（待编制）</x:v>
      </x:c>
      <x:c r="L39" s="22" t="n">
        <x:v>1</x:v>
      </x:c>
      <x:c r="M39" s="11" t="str">
        <x:v>跨度15m，下弦水平，上弦高度从1.5增到3m，完整连接表和三处偏载；完整属性按公共契约随题给出。 五节间上弦由端高1.5m线性升至3m；x=3/9/12m顶点分别向下12/18/10kN。</x:v>
      </x:c>
      <x:c r="N39" s="11" t="str">
        <x:v>非对称几何和非模板拓扑</x:v>
      </x:c>
      <x:c r="O39" s="11" t="str">
        <x:v>三受载点位移、非对称腹杆轴力和支反力。</x:v>
      </x:c>
      <x:c r="P39" s="11" t="str">
        <x:v>非对称几何和非模板拓扑；指定位置/分量对照数值真值，输出文字与结构化结果保持符号、单位和工况一致。</x:v>
      </x:c>
      <x:c r="Q39" s="18" t="str">
        <x:v>新增</x:v>
      </x:c>
      <x:c r="R39" s="11" t="str">
        <x:v>无</x:v>
      </x:c>
      <x:c r="S39" s="11" t="str">
        <x:v>无</x:v>
      </x:c>
      <x:c r="T39" s="11" t="str">
        <x:v>新增工程场景；母模型、提示词和真值均待建立。</x:v>
      </x:c>
      <x:c r="U39" s="11" t="str">
        <x:v>拟建立独立审定的 OpenSees 模型及同版本/同设置参考结果；完整连接表先做刚度秩验证；独立杆系解与每节点平衡，核查荷载总力矩。 参考值尚未生成。 所有题定输出均须覆盖，校核实现不复用被测转换链路。</x:v>
      </x:c>
      <x:c r="V39" s="11" t="str">
        <x:v>机构与连通性需独立验证；完整题面、参数/单位契约与真值待验证</x:v>
      </x:c>
      <x:c r="W39" s="11" t="str">
        <x:v>规划，待编题与验证</x:v>
      </x:c>
      <x:c r="X39" s="11" t="str">
        <x:v>OpenSees</x:v>
      </x:c>
      <x:c r="Y39" s="18" t="str">
        <x:v>OpenSees</x:v>
      </x:c>
      <x:c r="Z39" s="11" t="str">
        <x:v>二维或三维轴力杆系任务，采用 OpenSees；不扩造建筑楼层来适配商业入口。 本题重点：非对称几何和非模板拓扑。</x:v>
      </x:c>
      <x:c r="AA39" s="11" t="str">
        <x:v>拟要求真实 OpenSees 求解，保存输入与原始结果的对应关系；解析式/独立矩阵解用于校核，不能替代规定引擎执行证据。</x:v>
      </x:c>
      <x:c r="AB39" s="11" t="str">
        <x:v>待逐题验证</x:v>
      </x:c>
      <x:c r="AC39" s="11" t="str">
        <x:v>非对称完整连接表的刚度秩和载荷节点集合需先验验证。 当前无据认定接口不支持；需实际能力测试后确定，不将未验证能力记为模型失败。</x:v>
      </x:c>
      <x:c r="AD3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39" s="11" t="str">
        <x:v>拟保存（尚未生成）：OpenSees 版本、可运行模型/脚本、节点构件和荷载表、实际计算日志、原始结果与工况索引、平衡/独立解校核记录。</x:v>
      </x:c>
      <x:c r="AF39" s="11" t="str">
        <x:v>OPS；COMMON</x:v>
      </x:c>
    </x:row>
    <x:row r="40" ht="67.5" customHeight="1">
      <x:c r="A40" s="15" t="str">
        <x:v>STD-039</x:v>
      </x:c>
      <x:c r="B40" s="6" t="str">
        <x:v>标准工作流</x:v>
      </x:c>
      <x:c r="C40" s="19" t="str">
        <x:v>M-STD-039</x:v>
      </x:c>
      <x:c r="D40" s="6" t="str">
        <x:v>弦杆与腹杆分组截面</x:v>
      </x:c>
      <x:c r="E40" s="6" t="str">
        <x:v>桁架</x:v>
      </x:c>
      <x:c r="F40" s="19" t="str">
        <x:v>2D</x:v>
      </x:c>
      <x:c r="G40" s="6" t="str">
        <x:v>多截面组桁架</x:v>
      </x:c>
      <x:c r="H40" s="19" t="str">
        <x:v>L3</x:v>
      </x:c>
      <x:c r="I40" s="6" t="str">
        <x:v>构件组、截面与不均匀节点力三项联合，容易整体覆盖属性。</x:v>
      </x:c>
      <x:c r="J40" s="19" t="str">
        <x:v>中文</x:v>
      </x:c>
      <x:c r="K40" s="6" t="str">
        <x:v>完整文字任务 + 随题分析属性表（待编制）</x:v>
      </x:c>
      <x:c r="L40" s="23" t="n">
        <x:v>1</x:v>
      </x:c>
      <x:c r="M40" s="6" t="str">
        <x:v>跨度20m、高3m、5节间，上下弦和腹杆分别给A1/A2/A3，分节点加载；完整属性按公共契约随题给出。 上弦A1、下弦A2、腹杆A3逐项给值；四个内部上弦节点按8/12/16/10kN加载。</x:v>
      </x:c>
      <x:c r="N40" s="6" t="str">
        <x:v>构件组属性与拓扑荷载联合映射</x:v>
      </x:c>
      <x:c r="O40" s="6" t="str">
        <x:v>受载点位移、各组代表杆及全杆轴力、支反力，附组别索引。</x:v>
      </x:c>
      <x:c r="P40" s="6" t="str">
        <x:v>构件组属性与拓扑荷载联合映射；指定位置/分量对照数值真值，输出文字与结构化结果保持符号、单位和工况一致。</x:v>
      </x:c>
      <x:c r="Q40" s="19" t="str">
        <x:v>新增</x:v>
      </x:c>
      <x:c r="R40" s="6" t="str">
        <x:v>无</x:v>
      </x:c>
      <x:c r="S40" s="6" t="str">
        <x:v>无</x:v>
      </x:c>
      <x:c r="T40" s="6" t="str">
        <x:v>新增工程场景；母模型、提示词和真值均待建立。</x:v>
      </x:c>
      <x:c r="U40" s="6" t="str">
        <x:v>拟建立独立审定的 OpenSees 模型及同版本/同设置参考结果；独立杆系刚度法使用逐杆EA；单位荷载法抽查位移并核查全节点平衡。 参考值尚未生成。 所有题定输出均须覆盖，校核实现不复用被测转换链路。</x:v>
      </x:c>
      <x:c r="V40" s="6" t="str">
        <x:v>基础工具；完整题面、参数/单位契约与真值待验证</x:v>
      </x:c>
      <x:c r="W40" s="6" t="str">
        <x:v>规划，待编题与验证</x:v>
      </x:c>
      <x:c r="X40" s="6" t="str">
        <x:v>OpenSees</x:v>
      </x:c>
      <x:c r="Y40" s="19" t="str">
        <x:v>OpenSees</x:v>
      </x:c>
      <x:c r="Z40" s="6" t="str">
        <x:v>二维或三维轴力杆系任务，采用 OpenSees；不扩造建筑楼层来适配商业入口。 本题重点：构件组属性与拓扑荷载联合映射。</x:v>
      </x:c>
      <x:c r="AA40" s="6" t="str">
        <x:v>拟要求真实 OpenSees 求解，保存输入与原始结果的对应关系；解析式/独立矩阵解用于校核，不能替代规定引擎执行证据。</x:v>
      </x:c>
      <x:c r="AB40" s="6" t="str">
        <x:v>待逐题验证</x:v>
      </x:c>
      <x:c r="AC40" s="6" t="str">
        <x:v>逐杆 EA 及材料/截面组映射须验证。 当前无据认定接口不支持；需实际能力测试后确定，不将未验证能力记为模型失败。</x:v>
      </x:c>
      <x:c r="AD4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40" s="6" t="str">
        <x:v>拟保存（尚未生成）：OpenSees 版本、可运行模型/脚本、节点构件和荷载表、实际计算日志、原始结果与工况索引、平衡/独立解校核记录。</x:v>
      </x:c>
      <x:c r="AF40" s="6" t="str">
        <x:v>OPS；COMMON</x:v>
      </x:c>
    </x:row>
    <x:row r="41" ht="67.5" customHeight="1">
      <x:c r="A41" s="14" t="str">
        <x:v>STD-040</x:v>
      </x:c>
      <x:c r="B41" s="11" t="str">
        <x:v>标准工作流</x:v>
      </x:c>
      <x:c r="C41" s="18" t="str">
        <x:v>M-STD-040</x:v>
      </x:c>
      <x:c r="D41" s="11" t="str">
        <x:v>四面体空间桁架</x:v>
      </x:c>
      <x:c r="E41" s="11" t="str">
        <x:v>桁架</x:v>
      </x:c>
      <x:c r="F41" s="18" t="str">
        <x:v>3D</x:v>
      </x:c>
      <x:c r="G41" s="11" t="str">
        <x:v>基础空间桁架</x:v>
      </x:c>
      <x:c r="H41" s="18" t="str">
        <x:v>L2</x:v>
      </x:c>
      <x:c r="I41" s="11" t="str">
        <x:v>空间几何明确，但需要正确处理三向自由度和足够独立约束。</x:v>
      </x:c>
      <x:c r="J41" s="18" t="str">
        <x:v>英文</x:v>
      </x:c>
      <x:c r="K41" s="11" t="str">
        <x:v>完整文字任务 + 随题分析属性表（待编制）</x:v>
      </x:c>
      <x:c r="L41" s="22" t="n">
        <x:v>1</x:v>
      </x:c>
      <x:c r="M41" s="11" t="str">
        <x:v>四面体空间桁架四节点六杆；底面A=(0,0,0)、B=(4,0,0)、C=(2,2√3,0)m，顶点D=(2,2√3/3,3)m。A约束XYZ平移，B约束YZ平移，C仅约束Z平移；D向下30kN，其余方向自由。材料EA按公共契约。</x:v>
      </x:c>
      <x:c r="N41" s="11" t="str">
        <x:v>空间杆连接与消除刚体运动约束</x:v>
      </x:c>
      <x:c r="O41" s="11" t="str">
        <x:v>顶点X/Y/Z位移、六杆轴力、各支座反力向量。</x:v>
      </x:c>
      <x:c r="P41" s="11" t="str">
        <x:v>空间杆连接与消除刚体运动约束；指定位置/分量对照数值真值，输出文字与结构化结果保持符号、单位和工况一致。</x:v>
      </x:c>
      <x:c r="Q41" s="18" t="str">
        <x:v>新增</x:v>
      </x:c>
      <x:c r="R41" s="11" t="str">
        <x:v>无</x:v>
      </x:c>
      <x:c r="S41" s="11" t="str">
        <x:v>无</x:v>
      </x:c>
      <x:c r="T41" s="11" t="str">
        <x:v>新增工程场景；母模型、提示词和真值均待建立。</x:v>
      </x:c>
      <x:c r="U41" s="11" t="str">
        <x:v>拟建立独立审定的 OpenSees 模型及同版本/同设置参考结果；独立三维杆系矩阵解，检查刚度秩、三向节点力平衡及空间合力矩。 参考值尚未生成。 所有题定输出均须覆盖，校核实现不复用被测转换链路。</x:v>
      </x:c>
      <x:c r="V41" s="11" t="str">
        <x:v>空间桁架及独立真值需验证；完整题面、参数/单位契约与真值待验证</x:v>
      </x:c>
      <x:c r="W41" s="11" t="str">
        <x:v>规划，待编题与验证</x:v>
      </x:c>
      <x:c r="X41" s="11" t="str">
        <x:v>OpenSees</x:v>
      </x:c>
      <x:c r="Y41" s="18" t="str">
        <x:v>OpenSees</x:v>
      </x:c>
      <x:c r="Z41" s="11" t="str">
        <x:v>二维或三维轴力杆系任务，采用 OpenSees；不扩造建筑楼层来适配商业入口。 本题重点：空间杆连接与消除刚体运动约束。</x:v>
      </x:c>
      <x:c r="AA41" s="11" t="str">
        <x:v>拟要求真实 OpenSees 求解，保存输入与原始结果的对应关系；解析式/独立矩阵解用于校核，不能替代规定引擎执行证据。</x:v>
      </x:c>
      <x:c r="AB41" s="11" t="str">
        <x:v>待逐题验证</x:v>
      </x:c>
      <x:c r="AC41" s="11" t="str">
        <x:v>三维 truss 自由度、分支座平移约束、稳定性和三向反力读取需验证。 当前无据认定接口不支持；需实际能力测试后确定，不将未验证能力记为模型失败。</x:v>
      </x:c>
      <x:c r="AD4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41" s="11" t="str">
        <x:v>拟保存（尚未生成）：OpenSees 版本、可运行模型/脚本、节点构件和荷载表、实际计算日志、原始结果与工况索引、平衡/独立解校核记录。</x:v>
      </x:c>
      <x:c r="AF41" s="11" t="str">
        <x:v>OPS；COMMON</x:v>
      </x:c>
    </x:row>
    <x:row r="42" ht="67.5" customHeight="1">
      <x:c r="A42" s="15" t="str">
        <x:v>STD-041</x:v>
      </x:c>
      <x:c r="B42" s="6" t="str">
        <x:v>标准工作流</x:v>
      </x:c>
      <x:c r="C42" s="19" t="str">
        <x:v>M-STD-041</x:v>
      </x:c>
      <x:c r="D42" s="6" t="str">
        <x:v>方锥屋盖空间杆系</x:v>
      </x:c>
      <x:c r="E42" s="6" t="str">
        <x:v>桁架</x:v>
      </x:c>
      <x:c r="F42" s="19" t="str">
        <x:v>3D</x:v>
      </x:c>
      <x:c r="G42" s="6" t="str">
        <x:v>偏心空间方锥</x:v>
      </x:c>
      <x:c r="H42" s="19" t="str">
        <x:v>L3</x:v>
      </x:c>
      <x:c r="I42" s="6" t="str">
        <x:v>顶点偏心与双向荷载耦合，不能把四斜杆视为等长或等力。</x:v>
      </x:c>
      <x:c r="J42" s="19" t="str">
        <x:v>中文</x:v>
      </x:c>
      <x:c r="K42" s="6" t="str">
        <x:v>完整文字任务 + 随题分析属性表（待编制）</x:v>
      </x:c>
      <x:c r="L42" s="23" t="n">
        <x:v>1</x:v>
      </x:c>
      <x:c r="M42" s="6" t="str">
        <x:v>底面6m×6m，顶点偏离中心，高3m，底边杆加四斜杆，四底节点固定，顶点双向荷载；完整属性按公共契约随题给出。 顶点坐标(2,3,3)m，底角(0/6,0/6,0)m固定；顶点受X向15kN和Z向-40kN。</x:v>
      </x:c>
      <x:c r="N42" s="6" t="str">
        <x:v>偏心空间几何和三向力分量</x:v>
      </x:c>
      <x:c r="O42" s="6" t="str">
        <x:v>顶点三向位移、四斜杆与底边杆轴力、四支座反力。</x:v>
      </x:c>
      <x:c r="P42" s="6" t="str">
        <x:v>偏心空间几何和三向力分量；指定位置/分量对照数值真值，输出文字与结构化结果保持符号、单位和工况一致。</x:v>
      </x:c>
      <x:c r="Q42" s="19" t="str">
        <x:v>新增</x:v>
      </x:c>
      <x:c r="R42" s="6" t="str">
        <x:v>无</x:v>
      </x:c>
      <x:c r="S42" s="6" t="str">
        <x:v>无</x:v>
      </x:c>
      <x:c r="T42" s="6" t="str">
        <x:v>新增工程场景；母模型、提示词和真值均待建立。</x:v>
      </x:c>
      <x:c r="U42" s="6" t="str">
        <x:v>拟建立独立审定的 OpenSees 模型及同版本/同设置参考结果；独立三维杆系刚度法；检查三向平衡和顶点受力，固定底边杆零应变作辅助检查。 参考值尚未生成。 所有题定输出均须覆盖，校核实现不复用被测转换链路。</x:v>
      </x:c>
      <x:c r="V42" s="6" t="str">
        <x:v>空间桁架及独立真值需验证；完整题面、参数/单位契约与真值待验证</x:v>
      </x:c>
      <x:c r="W42" s="6" t="str">
        <x:v>规划，待编题与验证</x:v>
      </x:c>
      <x:c r="X42" s="6" t="str">
        <x:v>OpenSees</x:v>
      </x:c>
      <x:c r="Y42" s="19" t="str">
        <x:v>OpenSees</x:v>
      </x:c>
      <x:c r="Z42" s="6" t="str">
        <x:v>二维或三维轴力杆系任务，采用 OpenSees；不扩造建筑楼层来适配商业入口。 本题重点：偏心空间几何和三向力分量。</x:v>
      </x:c>
      <x:c r="AA42" s="6" t="str">
        <x:v>拟要求真实 OpenSees 求解，保存输入与原始结果的对应关系；解析式/独立矩阵解用于校核，不能替代规定引擎执行证据。</x:v>
      </x:c>
      <x:c r="AB42" s="6" t="str">
        <x:v>待逐题验证</x:v>
      </x:c>
      <x:c r="AC42" s="6" t="str">
        <x:v>三维 truss、偏心顶点力分解及固定底边零应变须验证。 当前无据认定接口不支持；需实际能力测试后确定，不将未验证能力记为模型失败。</x:v>
      </x:c>
      <x:c r="AD42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42" s="6" t="str">
        <x:v>拟保存（尚未生成）：OpenSees 版本、可运行模型/脚本、节点构件和荷载表、实际计算日志、原始结果与工况索引、平衡/独立解校核记录。</x:v>
      </x:c>
      <x:c r="AF42" s="6" t="str">
        <x:v>OPS；COMMON</x:v>
      </x:c>
    </x:row>
    <x:row r="43" ht="67.5" customHeight="1">
      <x:c r="A43" s="14" t="str">
        <x:v>STD-042</x:v>
      </x:c>
      <x:c r="B43" s="11" t="str">
        <x:v>标准工作流</x:v>
      </x:c>
      <x:c r="C43" s="18" t="str">
        <x:v>M-STD-042</x:v>
      </x:c>
      <x:c r="D43" s="11" t="str">
        <x:v>两层三角柱式空间桁架</x:v>
      </x:c>
      <x:c r="E43" s="11" t="str">
        <x:v>桁架</x:v>
      </x:c>
      <x:c r="F43" s="18" t="str">
        <x:v>3D</x:v>
      </x:c>
      <x:c r="G43" s="11" t="str">
        <x:v>多层空间桁架</x:v>
      </x:c>
      <x:c r="H43" s="18" t="str">
        <x:v>L3</x:v>
      </x:c>
      <x:c r="I43" s="11" t="str">
        <x:v>同一投影中的跨层杆必须落到不同高度节点，空间连接不能退化成平面。</x:v>
      </x:c>
      <x:c r="J43" s="18" t="str">
        <x:v>英文</x:v>
      </x:c>
      <x:c r="K43" s="11" t="str">
        <x:v>完整文字任务 + 随题分析属性表（待编制）</x:v>
      </x:c>
      <x:c r="L43" s="22" t="n">
        <x:v>1</x:v>
      </x:c>
      <x:c r="M43" s="11" t="str">
        <x:v>底面三角形边长4m，两层各3m，弦杆横杆斜杆按表连接，底节点固定，顶层侧力；完整属性按公共契约随题给出。 两层三角柱所有节点和斜杆端点列表完整；顶层三个节点各X向10kN，底节点固定。</x:v>
      </x:c>
      <x:c r="N43" s="11" t="str">
        <x:v>跨层空间连接与杆件组</x:v>
      </x:c>
      <x:c r="O43" s="11" t="str">
        <x:v>顶层节点三向位移、跨层弦杆/腹杆轴力、底部反力合计与分配。</x:v>
      </x:c>
      <x:c r="P43" s="11" t="str">
        <x:v>跨层空间连接与杆件组；指定位置/分量对照数值真值，输出文字与结构化结果保持符号、单位和工况一致。</x:v>
      </x:c>
      <x:c r="Q43" s="18" t="str">
        <x:v>新增</x:v>
      </x:c>
      <x:c r="R43" s="11" t="str">
        <x:v>无</x:v>
      </x:c>
      <x:c r="S43" s="11" t="str">
        <x:v>无</x:v>
      </x:c>
      <x:c r="T43" s="11" t="str">
        <x:v>新增工程场景；母模型、提示词和真值均待建立。</x:v>
      </x:c>
      <x:c r="U43" s="11" t="str">
        <x:v>拟建立独立审定的 OpenSees 模型及同版本/同设置参考结果；先验秩检查与连接图审计；独立三维杆系解及每节点/整体平衡。 参考值尚未生成。 所有题定输出均须覆盖，校核实现不复用被测转换链路。</x:v>
      </x:c>
      <x:c r="V43" s="11" t="str">
        <x:v>空间桁架及独立真值需验证；完整题面、参数/单位契约与真值待验证</x:v>
      </x:c>
      <x:c r="W43" s="11" t="str">
        <x:v>规划，待编题与验证</x:v>
      </x:c>
      <x:c r="X43" s="11" t="str">
        <x:v>OpenSees</x:v>
      </x:c>
      <x:c r="Y43" s="18" t="str">
        <x:v>OpenSees</x:v>
      </x:c>
      <x:c r="Z43" s="11" t="str">
        <x:v>二维或三维轴力杆系任务，采用 OpenSees；不扩造建筑楼层来适配商业入口。 本题重点：跨层空间连接与杆件组。</x:v>
      </x:c>
      <x:c r="AA43" s="11" t="str">
        <x:v>拟要求真实 OpenSees 求解，保存输入与原始结果的对应关系；解析式/独立矩阵解用于校核，不能替代规定引擎执行证据。</x:v>
      </x:c>
      <x:c r="AB43" s="11" t="str">
        <x:v>待逐题验证</x:v>
      </x:c>
      <x:c r="AC43" s="11" t="str">
        <x:v>空间多层 truss 连接、约束后刚度秩和跨层端点需验证。 当前无据认定接口不支持；需实际能力测试后确定，不将未验证能力记为模型失败。</x:v>
      </x:c>
      <x:c r="AD4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采用仅轴力杆件，交叉是否连接按端点表；不把铰接杆改为刚接梁。</x:v>
      </x:c>
      <x:c r="AE43" s="11" t="str">
        <x:v>拟保存（尚未生成）：OpenSees 版本、可运行模型/脚本、节点构件和荷载表、实际计算日志、原始结果与工况索引、平衡/独立解校核记录。</x:v>
      </x:c>
      <x:c r="AF43" s="11" t="str">
        <x:v>OPS；COMMON</x:v>
      </x:c>
    </x:row>
    <x:row r="44" ht="54" customHeight="1">
      <x:c r="A44" s="15" t="str">
        <x:v>STD-043</x:v>
      </x:c>
      <x:c r="B44" s="6" t="str">
        <x:v>标准工作流</x:v>
      </x:c>
      <x:c r="C44" s="19" t="str">
        <x:v>M-STD-043</x:v>
      </x:c>
      <x:c r="D44" s="6" t="str">
        <x:v>18m平屋面门架</x:v>
      </x:c>
      <x:c r="E44" s="6" t="str">
        <x:v>门式刚架</x:v>
      </x:c>
      <x:c r="F44" s="19" t="str">
        <x:v>2D</x:v>
      </x:c>
      <x:c r="G44" s="6" t="str">
        <x:v>平屋面门架基础模型</x:v>
      </x:c>
      <x:c r="H44" s="19" t="str">
        <x:v>L1</x:v>
      </x:c>
      <x:c r="I44" s="6" t="str">
        <x:v>单跨平屋面和相同柱脚清楚，关键是几何与刚接语义。</x:v>
      </x:c>
      <x:c r="J44" s="19" t="str">
        <x:v>中文</x:v>
      </x:c>
      <x:c r="K44" s="6" t="str">
        <x:v>完整文字任务 + 随题分析属性表（待编制）</x:v>
      </x:c>
      <x:c r="L44" s="23" t="n">
        <x:v>1</x:v>
      </x:c>
      <x:c r="M44" s="6" t="str">
        <x:v>跨度18m、高7m，两柱脚固定，屋面向下6kN/m；完整属性按公共契约随题给出。 明确水平屋面和刚接梁柱，不自动生成双坡屋脊。</x:v>
      </x:c>
      <x:c r="N44" s="6" t="str">
        <x:v>平屋面几何和固定柱脚</x:v>
      </x:c>
      <x:c r="O44" s="6" t="str">
        <x:v>两柱顶X/Z位移、屋面跨中竖向位移、柱脚反力/弯矩。</x:v>
      </x:c>
      <x:c r="P44" s="6" t="str">
        <x:v>平屋面几何和固定柱脚；指定位置/分量对照数值真值，输出文字与结构化结果保持符号、单位和工况一致。</x:v>
      </x:c>
      <x:c r="Q44" s="19" t="str">
        <x:v>旧题改编</x:v>
      </x:c>
      <x:c r="R44" s="6" t="str">
        <x:v>portal-frame-static-18m</x:v>
      </x:c>
      <x:c r="S44" s="6" t="str">
        <x:v>std-portal-18m-gt</x:v>
      </x:c>
      <x:c r="T44" s="6" t="str">
        <x:v>保留旧题主要几何与荷载，显式补齐单位、自重、观测位置和结果评分；新契约下须重新核验真值。</x:v>
      </x:c>
      <x:c r="U44" s="6" t="str">
        <x:v>拟建立独立审定的 OpenSees 模型及同版本/同设置参考结果；独立二维框架刚度法；对称性与整体平衡，跨中位移用加密观测节点核查。 参考值尚未生成。 所有题定输出均须覆盖，校核实现不复用被测转换链路。</x:v>
      </x:c>
      <x:c r="V44" s="6" t="str">
        <x:v>基础工具；完整题面、参数/单位契约与真值待验证</x:v>
      </x:c>
      <x:c r="W44" s="6" t="str">
        <x:v>规划，待编题与验证</x:v>
      </x:c>
      <x:c r="X44" s="6" t="str">
        <x:v>OpenSees</x:v>
      </x:c>
      <x:c r="Y44" s="19" t="str">
        <x:v>OpenSees</x:v>
      </x:c>
      <x:c r="Z44" s="6" t="str">
        <x:v>当前为二维门架力学模型，采用 OpenSees，保留真实屋面/悬挑/边界。 本题重点：平屋面几何和固定柱脚。</x:v>
      </x:c>
      <x:c r="AA44" s="6" t="str">
        <x:v>拟要求真实 OpenSees 求解，保存输入与原始结果的对应关系；解析式/独立矩阵解用于校核，不能替代规定引擎执行证据。</x:v>
      </x:c>
      <x:c r="AB44" s="6" t="str">
        <x:v>待逐题验证</x:v>
      </x:c>
      <x:c r="AC44" s="6" t="str">
        <x:v>逐题核验平屋面几何和固定柱脚；输入、结果分量/位置及数值标答尚未完成验收。 当前无据认定接口不支持；需实际能力测试后确定，不将未验证能力记为模型失败。</x:v>
      </x:c>
      <x:c r="AD4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44" s="6" t="str">
        <x:v>拟保存（尚未生成）：OpenSees 版本、可运行模型/脚本、节点构件和荷载表、实际计算日志、原始结果与工况索引、平衡/独立解校核记录。</x:v>
      </x:c>
      <x:c r="AF44" s="6" t="str">
        <x:v>OPS；COMMON</x:v>
      </x:c>
    </x:row>
    <x:row r="45" ht="54" customHeight="1">
      <x:c r="A45" s="14" t="str">
        <x:v>STD-044</x:v>
      </x:c>
      <x:c r="B45" s="11" t="str">
        <x:v>标准工作流</x:v>
      </x:c>
      <x:c r="C45" s="18" t="str">
        <x:v>M-STD-044</x:v>
      </x:c>
      <x:c r="D45" s="11" t="str">
        <x:v>双跨平屋面门架</x:v>
      </x:c>
      <x:c r="E45" s="11" t="str">
        <x:v>门式刚架</x:v>
      </x:c>
      <x:c r="F45" s="18" t="str">
        <x:v>2D</x:v>
      </x:c>
      <x:c r="G45" s="11" t="str">
        <x:v>双跨共用中柱</x:v>
      </x:c>
      <x:c r="H45" s="18" t="str">
        <x:v>L2</x:v>
      </x:c>
      <x:c r="I45" s="11" t="str">
        <x:v>中柱不能重复生成或将两跨变成独立门架，连续连接决定受力。</x:v>
      </x:c>
      <x:c r="J45" s="18" t="str">
        <x:v>英文</x:v>
      </x:c>
      <x:c r="K45" s="11" t="str">
        <x:v>完整文字任务 + 随题分析属性表（待编制）</x:v>
      </x:c>
      <x:c r="L45" s="22" t="n">
        <x:v>1</x:v>
      </x:c>
      <x:c r="M45" s="11" t="str">
        <x:v>两跨各18m、高9m，三柱脚固定，两跨屋面6kN/m；完整属性按公共契约随题给出。 只设置一根共用中柱，两跨屋面在同一个柱顶节点刚接。</x:v>
      </x:c>
      <x:c r="N45" s="11" t="str">
        <x:v>中柱共节点和双跨连续连接</x:v>
      </x:c>
      <x:c r="O45" s="11" t="str">
        <x:v>三柱顶位移、两屋面跨中位移及三个柱脚反力/弯矩。</x:v>
      </x:c>
      <x:c r="P45" s="11" t="str">
        <x:v>中柱共节点和双跨连续连接；指定位置/分量对照数值真值，输出文字与结构化结果保持符号、单位和工况一致。</x:v>
      </x:c>
      <x:c r="Q45" s="18" t="str">
        <x:v>旧题改编</x:v>
      </x:c>
      <x:c r="R45" s="11" t="str">
        <x:v>std-portal-double-gt</x:v>
      </x:c>
      <x:c r="S45" s="11" t="str">
        <x:v>无</x:v>
      </x:c>
      <x:c r="T45" s="11" t="str">
        <x:v>保留旧题主要几何与荷载，显式补齐单位、自重、观测位置和结果评分；新契约下须重新核验真值。</x:v>
      </x:c>
      <x:c r="U45" s="11" t="str">
        <x:v>拟建立独立审定的 OpenSees 模型及同版本/同设置参考结果；独立框架矩阵法，核查中柱顶平衡与两跨对称关系。 参考值尚未生成。 所有题定输出均须覆盖，校核实现不复用被测转换链路。</x:v>
      </x:c>
      <x:c r="V45" s="11" t="str">
        <x:v>基础工具；完整题面、参数/单位契约与真值待验证</x:v>
      </x:c>
      <x:c r="W45" s="11" t="str">
        <x:v>规划，待编题与验证</x:v>
      </x:c>
      <x:c r="X45" s="11" t="str">
        <x:v>OpenSees</x:v>
      </x:c>
      <x:c r="Y45" s="18" t="str">
        <x:v>OpenSees</x:v>
      </x:c>
      <x:c r="Z45" s="11" t="str">
        <x:v>当前为二维门架力学模型，采用 OpenSees，保留真实屋面/悬挑/边界。 本题重点：中柱共节点和双跨连续连接。</x:v>
      </x:c>
      <x:c r="AA45" s="11" t="str">
        <x:v>拟要求真实 OpenSees 求解，保存输入与原始结果的对应关系；解析式/独立矩阵解用于校核，不能替代规定引擎执行证据。</x:v>
      </x:c>
      <x:c r="AB45" s="11" t="str">
        <x:v>待逐题验证</x:v>
      </x:c>
      <x:c r="AC45" s="11" t="str">
        <x:v>逐题核验中柱共节点和双跨连续连接；输入、结果分量/位置及数值标答尚未完成验收。 当前无据认定接口不支持；需实际能力测试后确定，不将未验证能力记为模型失败。</x:v>
      </x:c>
      <x:c r="AD4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45" s="11" t="str">
        <x:v>拟保存（尚未生成）：OpenSees 版本、可运行模型/脚本、节点构件和荷载表、实际计算日志、原始结果与工况索引、平衡/独立解校核记录。</x:v>
      </x:c>
      <x:c r="AF45" s="11" t="str">
        <x:v>OPS；COMMON</x:v>
      </x:c>
    </x:row>
    <x:row r="46" ht="67.5" customHeight="1">
      <x:c r="A46" s="15" t="str">
        <x:v>STD-045</x:v>
      </x:c>
      <x:c r="B46" s="6" t="str">
        <x:v>标准工作流</x:v>
      </x:c>
      <x:c r="C46" s="19" t="str">
        <x:v>M-STD-045</x:v>
      </x:c>
      <x:c r="D46" s="6" t="str">
        <x:v>屋面集中设备荷载的平屋面门架</x:v>
      </x:c>
      <x:c r="E46" s="6" t="str">
        <x:v>门式刚架</x:v>
      </x:c>
      <x:c r="F46" s="19" t="str">
        <x:v>2D</x:v>
      </x:c>
      <x:c r="G46" s="6" t="str">
        <x:v>屋面点载与门架连续性</x:v>
      </x:c>
      <x:c r="H46" s="19" t="str">
        <x:v>L2</x:v>
      </x:c>
      <x:c r="I46" s="6" t="str">
        <x:v>屋面集中力要求新增连通力点，与全跨线载共存，不能当作平均线载或移到柱顶。</x:v>
      </x:c>
      <x:c r="J46" s="19" t="str">
        <x:v>中文</x:v>
      </x:c>
      <x:c r="K46" s="6" t="str">
        <x:v>完整文字任务 + 随题分析属性表（待编制）</x:v>
      </x:c>
      <x:c r="L46" s="23" t="n">
        <x:v>1</x:v>
      </x:c>
      <x:c r="M46" s="6" t="str">
        <x:v>单跨21m、高7.5m平屋面门架，两柱脚固定；屋面向下8kN/m，并在x=10.5m跨中另加向下60kN设备荷载。屋面中点为两梁段共享节点，材料截面按公共契约。</x:v>
      </x:c>
      <x:c r="N46" s="6" t="str">
        <x:v>屋面跨中设备点载与全跨线载分别施加，点载节点实际连通</x:v>
      </x:c>
      <x:c r="O46" s="6" t="str">
        <x:v>设备力点Z位移、两柱顶X/Z位移、屋面跨中弯矩和柱脚反力/弯矩。</x:v>
      </x:c>
      <x:c r="P46" s="6" t="str">
        <x:v>屋面跨中设备点载与全跨线载分别施加，点载节点实际连通；指定位置/分量对照数值真值，输出文字与结构化结果保持符号、单位和工况一致。</x:v>
      </x:c>
      <x:c r="Q46" s="19" t="str">
        <x:v>旧题改编</x:v>
      </x:c>
      <x:c r="R46" s="6" t="str">
        <x:v>portal-frame-static-en</x:v>
      </x:c>
      <x:c r="S46" s="6" t="str">
        <x:v>无</x:v>
      </x:c>
      <x:c r="T46" s="6" t="str">
        <x:v>保留旧题主要几何与荷载，显式补齐单位、自重、观测位置和结果评分；新契约下须重新核验真值。 新增屋面跨中60kN设备荷载和连接节点，形成与普通均布载门架不同的加载模型。</x:v>
      </x:c>
      <x:c r="U46" s="6" t="str">
        <x:v>拟建立独立审定的 OpenSees 模型及同版本/同设置参考结果；独立二维框架刚度法；力点剪力跳跃、对称性和总体平衡核验；新真值待建立。 所有题定输出均须覆盖，校核实现不复用被测转换链路。</x:v>
      </x:c>
      <x:c r="V46" s="6" t="str">
        <x:v>基础工具；完整题面、参数/单位契约与真值待验证</x:v>
      </x:c>
      <x:c r="W46" s="6" t="str">
        <x:v>规划，待编题与验证</x:v>
      </x:c>
      <x:c r="X46" s="6" t="str">
        <x:v>OpenSees</x:v>
      </x:c>
      <x:c r="Y46" s="19" t="str">
        <x:v>OpenSees</x:v>
      </x:c>
      <x:c r="Z46" s="6" t="str">
        <x:v>当前为二维门架力学模型，采用 OpenSees，保留真实屋面/悬挑/边界。 本题重点：屋面跨中设备点载与全跨线载分别施加，点载节点实际连通。</x:v>
      </x:c>
      <x:c r="AA46" s="6" t="str">
        <x:v>拟要求真实 OpenSees 求解，保存输入与原始结果的对应关系；解析式/独立矩阵解用于校核，不能替代规定引擎执行证据。</x:v>
      </x:c>
      <x:c r="AB46" s="6" t="str">
        <x:v>待逐题验证</x:v>
      </x:c>
      <x:c r="AC46" s="6" t="str">
        <x:v>逐题核验屋面跨中设备点载与全跨线载分别施加，点载节点实际连通；输入、结果分量/位置及数值标答尚未完成验收。 当前无据认定接口不支持；需实际能力测试后确定，不将未验证能力记为模型失败。</x:v>
      </x:c>
      <x:c r="AD4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46" s="6" t="str">
        <x:v>拟保存（尚未生成）：OpenSees 版本、可运行模型/脚本、节点构件和荷载表、实际计算日志、原始结果与工况索引、平衡/独立解校核记录。</x:v>
      </x:c>
      <x:c r="AF46" s="6" t="str">
        <x:v>OPS；COMMON</x:v>
      </x:c>
    </x:row>
    <x:row r="47" ht="54" customHeight="1">
      <x:c r="A47" s="14" t="str">
        <x:v>STD-046</x:v>
      </x:c>
      <x:c r="B47" s="11" t="str">
        <x:v>标准工作流</x:v>
      </x:c>
      <x:c r="C47" s="18" t="str">
        <x:v>M-STD-046</x:v>
      </x:c>
      <x:c r="D47" s="11" t="str">
        <x:v>双跨门架中柱吊车等效力</x:v>
      </x:c>
      <x:c r="E47" s="11" t="str">
        <x:v>门式刚架</x:v>
      </x:c>
      <x:c r="F47" s="18" t="str">
        <x:v>2D</x:v>
      </x:c>
      <x:c r="G47" s="11" t="str">
        <x:v>门架吊车等效节点力</x:v>
      </x:c>
      <x:c r="H47" s="18" t="str">
        <x:v>L2</x:v>
      </x:c>
      <x:c r="I47" s="11" t="str">
        <x:v>集中力的方向和节点定位均需精确，且叠加双跨屋面线载。</x:v>
      </x:c>
      <x:c r="J47" s="18" t="str">
        <x:v>英文</x:v>
      </x:c>
      <x:c r="K47" s="11" t="str">
        <x:v>完整文字任务 + 随题分析属性表（待编制）</x:v>
      </x:c>
      <x:c r="L47" s="22" t="n">
        <x:v>1</x:v>
      </x:c>
      <x:c r="M47" s="11" t="str">
        <x:v>两跨18m、高9m，屋面6kN/m，中柱顶向下49kN及X向4.9kN；完整属性按公共契约随题给出。 中柱顶为49kN竖向和4.9kN水平力共同作用点，不放到外柱或屋面中点。</x:v>
      </x:c>
      <x:c r="N47" s="11" t="str">
        <x:v>中柱作用点和不同方向力</x:v>
      </x:c>
      <x:c r="O47" s="11" t="str">
        <x:v>三柱顶位移、三柱脚反力与中柱上下端弯矩。</x:v>
      </x:c>
      <x:c r="P47" s="11" t="str">
        <x:v>中柱作用点和不同方向力；指定位置/分量对照数值真值，输出文字与结构化结果保持符号、单位和工况一致。</x:v>
      </x:c>
      <x:c r="Q47" s="18" t="str">
        <x:v>旧题改编</x:v>
      </x:c>
      <x:c r="R47" s="11" t="str">
        <x:v>portal-frame-double-span-crane-static</x:v>
      </x:c>
      <x:c r="S47" s="11" t="str">
        <x:v>无</x:v>
      </x:c>
      <x:c r="T47" s="11" t="str">
        <x:v>保留旧题主要几何与荷载，显式补齐单位、自重、观测位置和结果评分；新契约下须重新核验真值。</x:v>
      </x:c>
      <x:c r="U47" s="11" t="str">
        <x:v>拟建立独立审定的 OpenSees 模型及同版本/同设置参考结果；独立二维刚架解；分别核查屋面、竖向集中力、水平力合力与力矩。 参考值尚未生成。 所有题定输出均须覆盖，校核实现不复用被测转换链路。</x:v>
      </x:c>
      <x:c r="V47" s="11" t="str">
        <x:v>基础工具；完整题面、参数/单位契约与真值待验证</x:v>
      </x:c>
      <x:c r="W47" s="11" t="str">
        <x:v>规划，待编题与验证</x:v>
      </x:c>
      <x:c r="X47" s="11" t="str">
        <x:v>OpenSees</x:v>
      </x:c>
      <x:c r="Y47" s="18" t="str">
        <x:v>OpenSees</x:v>
      </x:c>
      <x:c r="Z47" s="11" t="str">
        <x:v>当前为二维门架力学模型，采用 OpenSees，保留真实屋面/悬挑/边界。 本题重点：中柱作用点和不同方向力。</x:v>
      </x:c>
      <x:c r="AA47" s="11" t="str">
        <x:v>拟要求真实 OpenSees 求解，保存输入与原始结果的对应关系；解析式/独立矩阵解用于校核，不能替代规定引擎执行证据。</x:v>
      </x:c>
      <x:c r="AB47" s="11" t="str">
        <x:v>待逐题验证</x:v>
      </x:c>
      <x:c r="AC47" s="11" t="str">
        <x:v>逐题核验中柱作用点和不同方向力；输入、结果分量/位置及数值标答尚未完成验收。 当前无据认定接口不支持；需实际能力测试后确定，不将未验证能力记为模型失败。</x:v>
      </x:c>
      <x:c r="AD4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47" s="11" t="str">
        <x:v>拟保存（尚未生成）：OpenSees 版本、可运行模型/脚本、节点构件和荷载表、实际计算日志、原始结果与工况索引、平衡/独立解校核记录。</x:v>
      </x:c>
      <x:c r="AF47" s="11" t="str">
        <x:v>OPS；COMMON</x:v>
      </x:c>
    </x:row>
    <x:row r="48" ht="54" customHeight="1">
      <x:c r="A48" s="15" t="str">
        <x:v>STD-047</x:v>
      </x:c>
      <x:c r="B48" s="6" t="str">
        <x:v>标准工作流</x:v>
      </x:c>
      <x:c r="C48" s="19" t="str">
        <x:v>M-STD-047</x:v>
      </x:c>
      <x:c r="D48" s="6" t="str">
        <x:v>单侧夹层门架</x:v>
      </x:c>
      <x:c r="E48" s="6" t="str">
        <x:v>门式刚架</x:v>
      </x:c>
      <x:c r="F48" s="19" t="str">
        <x:v>2D</x:v>
      </x:c>
      <x:c r="G48" s="6" t="str">
        <x:v>夹层接入与柱分段</x:v>
      </x:c>
      <x:c r="H48" s="19" t="str">
        <x:v>L2</x:v>
      </x:c>
      <x:c r="I48" s="6" t="str">
        <x:v>夹层位置、悬挑边界与左柱分段必须连贯，屋面和夹层载荷不同。</x:v>
      </x:c>
      <x:c r="J48" s="19" t="str">
        <x:v>中文</x:v>
      </x:c>
      <x:c r="K48" s="6" t="str">
        <x:v>完整文字任务 + 随题分析属性表（待编制）</x:v>
      </x:c>
      <x:c r="L48" s="23" t="n">
        <x:v>1</x:v>
      </x:c>
      <x:c r="M48" s="6" t="str">
        <x:v>跨度18m、高7m，左侧标高3m有6m悬挑夹层梁，屋面6、夹层4kN/m；完整属性按公共契约随题给出。 夹层梁从左柱z=3m节点向右伸出6m；自由端不加支座或虚构落地柱。</x:v>
      </x:c>
      <x:c r="N48" s="6" t="str">
        <x:v>柱上分段接入夹层及载荷分组</x:v>
      </x:c>
      <x:c r="O48" s="6" t="str">
        <x:v>夹层自由端位移、屋面柱顶位移、夹层根部弯矩及柱脚反力。</x:v>
      </x:c>
      <x:c r="P48" s="6" t="str">
        <x:v>柱上分段接入夹层及载荷分组；指定位置/分量对照数值真值，输出文字与结构化结果保持符号、单位和工况一致。</x:v>
      </x:c>
      <x:c r="Q48" s="19" t="str">
        <x:v>旧题改编</x:v>
      </x:c>
      <x:c r="R48" s="6" t="str">
        <x:v>portal-frame-with-mezzanine</x:v>
      </x:c>
      <x:c r="S48" s="6" t="str">
        <x:v>无</x:v>
      </x:c>
      <x:c r="T48" s="6" t="str">
        <x:v>保留旧题主要几何与荷载，显式补齐单位、自重、观测位置和结果评分；新契约下须重新核验真值。</x:v>
      </x:c>
      <x:c r="U48" s="6" t="str">
        <x:v>拟建立独立审定的 OpenSees 模型及同版本/同设置参考结果；独立框架刚度法；夹层梁段局部平衡、全模型平衡与节点连通性复核。 参考值尚未生成。 所有题定输出均须覆盖，校核实现不复用被测转换链路。</x:v>
      </x:c>
      <x:c r="V48" s="6" t="str">
        <x:v>基础工具；完整题面、参数/单位契约与真值待验证</x:v>
      </x:c>
      <x:c r="W48" s="6" t="str">
        <x:v>规划，待编题与验证</x:v>
      </x:c>
      <x:c r="X48" s="6" t="str">
        <x:v>OpenSees</x:v>
      </x:c>
      <x:c r="Y48" s="19" t="str">
        <x:v>OpenSees</x:v>
      </x:c>
      <x:c r="Z48" s="6" t="str">
        <x:v>当前为二维门架力学模型，采用 OpenSees，保留真实屋面/悬挑/边界。 本题重点：柱上分段接入夹层及载荷分组。</x:v>
      </x:c>
      <x:c r="AA48" s="6" t="str">
        <x:v>拟要求真实 OpenSees 求解，保存输入与原始结果的对应关系；解析式/独立矩阵解用于校核，不能替代规定引擎执行证据。</x:v>
      </x:c>
      <x:c r="AB48" s="6" t="str">
        <x:v>待逐题验证</x:v>
      </x:c>
      <x:c r="AC48" s="6" t="str">
        <x:v>柱上中间节点与悬挑梁刚接，不虚构悬挑端支座；位移读取须验收。 当前无据认定接口不支持；需实际能力测试后确定，不将未验证能力记为模型失败。</x:v>
      </x:c>
      <x:c r="AD4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48" s="6" t="str">
        <x:v>拟保存（尚未生成）：OpenSees 版本、可运行模型/脚本、节点构件和荷载表、实际计算日志、原始结果与工况索引、平衡/独立解校核记录。</x:v>
      </x:c>
      <x:c r="AF48" s="6" t="str">
        <x:v>OPS；COMMON</x:v>
      </x:c>
    </x:row>
    <x:row r="49" ht="54" customHeight="1">
      <x:c r="A49" s="14" t="str">
        <x:v>STD-048</x:v>
      </x:c>
      <x:c r="B49" s="11" t="str">
        <x:v>标准工作流</x:v>
      </x:c>
      <x:c r="C49" s="18" t="str">
        <x:v>M-STD-048</x:v>
      </x:c>
      <x:c r="D49" s="11" t="str">
        <x:v>双坡屋面单跨门架</x:v>
      </x:c>
      <x:c r="E49" s="11" t="str">
        <x:v>门式刚架</x:v>
      </x:c>
      <x:c r="F49" s="18" t="str">
        <x:v>2D</x:v>
      </x:c>
      <x:c r="G49" s="11" t="str">
        <x:v>坡屋面全局竖向载荷</x:v>
      </x:c>
      <x:c r="H49" s="18" t="str">
        <x:v>L2</x:v>
      </x:c>
      <x:c r="I49" s="11" t="str">
        <x:v>斜梁实际长度与竖直加载方向需要同时表达，不能当局部法向或水平投影载荷。</x:v>
      </x:c>
      <x:c r="J49" s="18" t="str">
        <x:v>英文</x:v>
      </x:c>
      <x:c r="K49" s="11" t="str">
        <x:v>完整文字任务 + 随题分析属性表（待编制）</x:v>
      </x:c>
      <x:c r="L49" s="22" t="n">
        <x:v>1</x:v>
      </x:c>
      <x:c r="M49" s="11" t="str">
        <x:v>跨度20m、檐高6m、屋脊高8m，柱脚固定，按屋面实际长度施加竖向6kN/m；完整属性按公共契约随题给出。 两坡线载按各坡实际长度计算合力，方向保持全局向下；屋脊刚接。</x:v>
      </x:c>
      <x:c r="N49" s="11" t="str">
        <x:v>坡梁真实长度与全局荷载方向</x:v>
      </x:c>
      <x:c r="O49" s="11" t="str">
        <x:v>屋脊及柱顶X/Z位移、坡梁端力、柱脚反力。</x:v>
      </x:c>
      <x:c r="P49" s="11" t="str">
        <x:v>坡梁真实长度与全局荷载方向；指定位置/分量对照数值真值，输出文字与结构化结果保持符号、单位和工况一致。</x:v>
      </x:c>
      <x:c r="Q49" s="18" t="str">
        <x:v>新增</x:v>
      </x:c>
      <x:c r="R49" s="11" t="str">
        <x:v>无</x:v>
      </x:c>
      <x:c r="S49" s="11" t="str">
        <x:v>无</x:v>
      </x:c>
      <x:c r="T49" s="11" t="str">
        <x:v>新增工程场景；母模型、提示词和真值均待建立。</x:v>
      </x:c>
      <x:c r="U49" s="11" t="str">
        <x:v>拟建立独立审定的 OpenSees 模型及同版本/同设置参考结果；独立坐标变换框架解；按坡长复核载荷合力，局部/全局端力互转校验。 参考值尚未生成。 所有题定输出均须覆盖，校核实现不复用被测转换链路。</x:v>
      </x:c>
      <x:c r="V49" s="11" t="str">
        <x:v>斜杆荷载与局部轴需验证；完整题面、参数/单位契约与真值待验证</x:v>
      </x:c>
      <x:c r="W49" s="11" t="str">
        <x:v>规划，待编题与验证</x:v>
      </x:c>
      <x:c r="X49" s="11" t="str">
        <x:v>OpenSees</x:v>
      </x:c>
      <x:c r="Y49" s="18" t="str">
        <x:v>OpenSees</x:v>
      </x:c>
      <x:c r="Z49" s="11" t="str">
        <x:v>当前为二维门架力学模型，采用 OpenSees，保留真实屋面/悬挑/边界。 本题重点：坡梁真实长度与全局荷载方向。</x:v>
      </x:c>
      <x:c r="AA49" s="11" t="str">
        <x:v>拟要求真实 OpenSees 求解，保存输入与原始结果的对应关系；解析式/独立矩阵解用于校核，不能替代规定引擎执行证据。</x:v>
      </x:c>
      <x:c r="AB49" s="11" t="str">
        <x:v>待逐题验证</x:v>
      </x:c>
      <x:c r="AC49" s="11" t="str">
        <x:v>坡梁真实长度上的全局竖向线载及局部/全局端力变换须验证。 当前无据认定接口不支持；需实际能力测试后确定，不将未验证能力记为模型失败。</x:v>
      </x:c>
      <x:c r="AD4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49" s="11" t="str">
        <x:v>拟保存（尚未生成）：OpenSees 版本、可运行模型/脚本、节点构件和荷载表、实际计算日志、原始结果与工况索引、平衡/独立解校核记录。</x:v>
      </x:c>
      <x:c r="AF49" s="11" t="str">
        <x:v>OPS；COMMON</x:v>
      </x:c>
    </x:row>
    <x:row r="50" ht="54" customHeight="1">
      <x:c r="A50" s="15" t="str">
        <x:v>STD-049</x:v>
      </x:c>
      <x:c r="B50" s="6" t="str">
        <x:v>标准工作流</x:v>
      </x:c>
      <x:c r="C50" s="19" t="str">
        <x:v>M-STD-049</x:v>
      </x:c>
      <x:c r="D50" s="6" t="str">
        <x:v>偏置屋脊非对称门架</x:v>
      </x:c>
      <x:c r="E50" s="6" t="str">
        <x:v>门式刚架</x:v>
      </x:c>
      <x:c r="F50" s="19" t="str">
        <x:v>2D</x:v>
      </x:c>
      <x:c r="G50" s="6" t="str">
        <x:v>非对称双坡与分坡载荷</x:v>
      </x:c>
      <x:c r="H50" s="19" t="str">
        <x:v>L3</x:v>
      </x:c>
      <x:c r="I50" s="6" t="str">
        <x:v>非对称屋脊使杆长和坡角不同，分坡荷载还需正确对应。</x:v>
      </x:c>
      <x:c r="J50" s="19" t="str">
        <x:v>中文</x:v>
      </x:c>
      <x:c r="K50" s="6" t="str">
        <x:v>完整文字任务 + 随题分析属性表（待编制）</x:v>
      </x:c>
      <x:c r="L50" s="23" t="n">
        <x:v>1</x:v>
      </x:c>
      <x:c r="M50" s="6" t="str">
        <x:v>跨度24m，屋脊距左柱10m，檐高6m、脊高8m，两坡不同线载；完整属性按公共契约随题给出。 左坡5kN/m、右坡7kN/m均按实际坡长向下；屋脊坐标(10,8)m。</x:v>
      </x:c>
      <x:c r="N50" s="6" t="str">
        <x:v>非对称坡度及两坡荷载匹配</x:v>
      </x:c>
      <x:c r="O50" s="6" t="str">
        <x:v>屋脊及两柱顶位移、两坡端弯矩和两柱脚反力。</x:v>
      </x:c>
      <x:c r="P50" s="6" t="str">
        <x:v>非对称坡度及两坡荷载匹配；指定位置/分量对照数值真值，输出文字与结构化结果保持符号、单位和工况一致。</x:v>
      </x:c>
      <x:c r="Q50" s="19" t="str">
        <x:v>新增</x:v>
      </x:c>
      <x:c r="R50" s="6" t="str">
        <x:v>无</x:v>
      </x:c>
      <x:c r="S50" s="6" t="str">
        <x:v>无</x:v>
      </x:c>
      <x:c r="T50" s="6" t="str">
        <x:v>新增工程场景；母模型、提示词和真值均待建立。</x:v>
      </x:c>
      <x:c r="U50" s="6" t="str">
        <x:v>拟建立独立审定的 OpenSees 模型及同版本/同设置参考结果；独立框架矩阵与坐标变换；两坡荷载合力/力矩逐项复核。 参考值尚未生成。 所有题定输出均须覆盖，校核实现不复用被测转换链路。</x:v>
      </x:c>
      <x:c r="V50" s="6" t="str">
        <x:v>斜杆荷载与局部轴需验证；完整题面、参数/单位契约与真值待验证</x:v>
      </x:c>
      <x:c r="W50" s="6" t="str">
        <x:v>规划，待编题与验证</x:v>
      </x:c>
      <x:c r="X50" s="6" t="str">
        <x:v>OpenSees</x:v>
      </x:c>
      <x:c r="Y50" s="19" t="str">
        <x:v>OpenSees</x:v>
      </x:c>
      <x:c r="Z50" s="6" t="str">
        <x:v>当前为二维门架力学模型，采用 OpenSees，保留真实屋面/悬挑/边界。 本题重点：非对称坡度及两坡荷载匹配。</x:v>
      </x:c>
      <x:c r="AA50" s="6" t="str">
        <x:v>拟要求真实 OpenSees 求解，保存输入与原始结果的对应关系；解析式/独立矩阵解用于校核，不能替代规定引擎执行证据。</x:v>
      </x:c>
      <x:c r="AB50" s="6" t="str">
        <x:v>待逐题验证</x:v>
      </x:c>
      <x:c r="AC50" s="6" t="str">
        <x:v>两坡不同实际长度和荷载强度分别映射，局部轴须验证。 当前无据认定接口不支持；需实际能力测试后确定，不将未验证能力记为模型失败。</x:v>
      </x:c>
      <x:c r="AD5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0" s="6" t="str">
        <x:v>拟保存（尚未生成）：OpenSees 版本、可运行模型/脚本、节点构件和荷载表、实际计算日志、原始结果与工况索引、平衡/独立解校核记录。</x:v>
      </x:c>
      <x:c r="AF50" s="6" t="str">
        <x:v>OPS；COMMON</x:v>
      </x:c>
    </x:row>
    <x:row r="51" ht="54" customHeight="1">
      <x:c r="A51" s="14" t="str">
        <x:v>STD-050</x:v>
      </x:c>
      <x:c r="B51" s="11" t="str">
        <x:v>标准工作流</x:v>
      </x:c>
      <x:c r="C51" s="18" t="str">
        <x:v>M-STD-050</x:v>
      </x:c>
      <x:c r="D51" s="11" t="str">
        <x:v>不等跨错高门架</x:v>
      </x:c>
      <x:c r="E51" s="11" t="str">
        <x:v>门式刚架</x:v>
      </x:c>
      <x:c r="F51" s="18" t="str">
        <x:v>2D</x:v>
      </x:c>
      <x:c r="G51" s="11" t="str">
        <x:v>错高门架柱上接入</x:v>
      </x:c>
      <x:c r="H51" s="18" t="str">
        <x:v>L3</x:v>
      </x:c>
      <x:c r="I51" s="11" t="str">
        <x:v>同一中柱有不同标高的两处连接，错误合并会改变几何与传力。</x:v>
      </x:c>
      <x:c r="J51" s="18" t="str">
        <x:v>英文</x:v>
      </x:c>
      <x:c r="K51" s="11" t="str">
        <x:v>完整文字任务 + 随题分析属性表（待编制）</x:v>
      </x:c>
      <x:c r="L51" s="22" t="n">
        <x:v>1</x:v>
      </x:c>
      <x:c r="M51" s="11" t="str">
        <x:v>两跨12、18m，屋面标高6、8m，共用中柱分段节点，屋面分别5、7kN/m；完整属性按公共契约随题给出。 中柱在z=6m和8m各设刚接节点，右跨梁连接中柱上节点，左跨连接下节点。</x:v>
      </x:c>
      <x:c r="N51" s="11" t="str">
        <x:v>错高节点不能误合并或遗漏柱段</x:v>
      </x:c>
      <x:c r="O51" s="11" t="str">
        <x:v>两个中柱接入点与外柱顶位移，各屋面跨中位移及柱脚反力。</x:v>
      </x:c>
      <x:c r="P51" s="11" t="str">
        <x:v>错高节点不能误合并或遗漏柱段；指定位置/分量对照数值真值，输出文字与结构化结果保持符号、单位和工况一致。</x:v>
      </x:c>
      <x:c r="Q51" s="18" t="str">
        <x:v>新增</x:v>
      </x:c>
      <x:c r="R51" s="11" t="str">
        <x:v>无</x:v>
      </x:c>
      <x:c r="S51" s="11" t="str">
        <x:v>无</x:v>
      </x:c>
      <x:c r="T51" s="11" t="str">
        <x:v>新增工程场景；母模型、提示词和真值均待建立。</x:v>
      </x:c>
      <x:c r="U51" s="11" t="str">
        <x:v>拟建立独立审定的 OpenSees 模型及同版本/同设置参考结果；独立框架解；中柱分段节点平衡与柱线连续性，整体合力矩复核。 参考值尚未生成。 所有题定输出均须覆盖，校核实现不复用被测转换链路。</x:v>
      </x:c>
      <x:c r="V51" s="11" t="str">
        <x:v>基础工具；完整题面、参数/单位契约与真值待验证</x:v>
      </x:c>
      <x:c r="W51" s="11" t="str">
        <x:v>规划，待编题与验证</x:v>
      </x:c>
      <x:c r="X51" s="11" t="str">
        <x:v>OpenSees</x:v>
      </x:c>
      <x:c r="Y51" s="18" t="str">
        <x:v>OpenSees</x:v>
      </x:c>
      <x:c r="Z51" s="11" t="str">
        <x:v>当前为二维门架力学模型，采用 OpenSees，保留真实屋面/悬挑/边界。 本题重点：错高节点不能误合并或遗漏柱段。</x:v>
      </x:c>
      <x:c r="AA51" s="11" t="str">
        <x:v>拟要求真实 OpenSees 求解，保存输入与原始结果的对应关系；解析式/独立矩阵解用于校核，不能替代规定引擎执行证据。</x:v>
      </x:c>
      <x:c r="AB51" s="11" t="str">
        <x:v>待逐题验证</x:v>
      </x:c>
      <x:c r="AC51" s="11" t="str">
        <x:v>中柱不同标高接入节点及短柱段连通性须验收。 当前无据认定接口不支持；需实际能力测试后确定，不将未验证能力记为模型失败。</x:v>
      </x:c>
      <x:c r="AD5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1" s="11" t="str">
        <x:v>拟保存（尚未生成）：OpenSees 版本、可运行模型/脚本、节点构件和荷载表、实际计算日志、原始结果与工况索引、平衡/独立解校核记录。</x:v>
      </x:c>
      <x:c r="AF51" s="11" t="str">
        <x:v>OPS；COMMON</x:v>
      </x:c>
    </x:row>
    <x:row r="52" ht="54" customHeight="1">
      <x:c r="A52" s="15" t="str">
        <x:v>STD-051</x:v>
      </x:c>
      <x:c r="B52" s="6" t="str">
        <x:v>标准工作流</x:v>
      </x:c>
      <x:c r="C52" s="19" t="str">
        <x:v>M-STD-051</x:v>
      </x:c>
      <x:c r="D52" s="6" t="str">
        <x:v>双坡门架局部上拔工况</x:v>
      </x:c>
      <x:c r="E52" s="6" t="str">
        <x:v>门式刚架</x:v>
      </x:c>
      <x:c r="F52" s="19" t="str">
        <x:v>2D</x:v>
      </x:c>
      <x:c r="G52" s="6" t="str">
        <x:v>局部上拔与斜梁组合</x:v>
      </x:c>
      <x:c r="H52" s="19" t="str">
        <x:v>L3</x:v>
      </x:c>
      <x:c r="I52" s="6" t="str">
        <x:v>坡向转换、局部上拔和工况叠加同时出现，任何符号误差都会改结果。</x:v>
      </x:c>
      <x:c r="J52" s="19" t="str">
        <x:v>中文</x:v>
      </x:c>
      <x:c r="K52" s="6" t="str">
        <x:v>完整文字任务 + 随题分析属性表（待编制）</x:v>
      </x:c>
      <x:c r="L52" s="23" t="n">
        <x:v>1</x:v>
      </x:c>
      <x:c r="M52" s="6" t="str">
        <x:v>跨度18m、檐高6m、脊高7.5m，D全屋面向下，W只右坡向上，题定组合；完整属性按公共契约随题给出。 D两坡各向下6kN/m，W仅右坡向上8kN/m，按坡长；C0=D、C1=D+W。</x:v>
      </x:c>
      <x:c r="N52" s="6" t="str">
        <x:v>坡梁方向、局部风区与组合</x:v>
      </x:c>
      <x:c r="O52" s="6" t="str">
        <x:v>两组合屋脊位移、柱脚反力/弯矩、右坡端力，保留符号及组合标签。</x:v>
      </x:c>
      <x:c r="P52" s="6" t="str">
        <x:v>坡梁方向、局部风区与组合；指定位置/分量对照数值真值，输出文字与结构化结果保持符号、单位和工况一致。</x:v>
      </x:c>
      <x:c r="Q52" s="19" t="str">
        <x:v>新增</x:v>
      </x:c>
      <x:c r="R52" s="6" t="str">
        <x:v>无</x:v>
      </x:c>
      <x:c r="S52" s="6" t="str">
        <x:v>无</x:v>
      </x:c>
      <x:c r="T52" s="6" t="str">
        <x:v>新增工程场景；母模型、提示词和真值均待建立。</x:v>
      </x:c>
      <x:c r="U52" s="6" t="str">
        <x:v>拟建立独立审定的 OpenSees 模型及同版本/同设置参考结果；逐工况独立框架解与线性叠加；按全局方向复核各坡荷载合力/力矩。 参考值尚未生成。 所有题定输出均须覆盖，校核实现不复用被测转换链路。</x:v>
      </x:c>
      <x:c r="V52" s="6" t="str">
        <x:v>斜杆荷载与多组合需验证；完整题面、参数/单位契约与真值待验证</x:v>
      </x:c>
      <x:c r="W52" s="6" t="str">
        <x:v>规划，待编题与验证</x:v>
      </x:c>
      <x:c r="X52" s="6" t="str">
        <x:v>OpenSees</x:v>
      </x:c>
      <x:c r="Y52" s="19" t="str">
        <x:v>OpenSees</x:v>
      </x:c>
      <x:c r="Z52" s="6" t="str">
        <x:v>当前为二维门架力学模型，采用 OpenSees，保留真实屋面/悬挑/边界。 本题重点：坡梁方向、局部风区与组合。</x:v>
      </x:c>
      <x:c r="AA52" s="6" t="str">
        <x:v>拟要求真实 OpenSees 求解，保存输入与原始结果的对应关系；解析式/独立矩阵解用于校核，不能替代规定引擎执行证据。</x:v>
      </x:c>
      <x:c r="AB52" s="6" t="str">
        <x:v>待逐题验证</x:v>
      </x:c>
      <x:c r="AC52" s="6" t="str">
        <x:v>两坡加载范围、有符号向上荷载与 D/D+W 组合须验证。 当前无据认定接口不支持；需实际能力测试后确定，不将未验证能力记为模型失败。</x:v>
      </x:c>
      <x:c r="AD52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2" s="6" t="str">
        <x:v>拟保存（尚未生成）：OpenSees 版本、可运行模型/脚本、节点构件和荷载表、实际计算日志、原始结果与工况索引、平衡/独立解校核记录。</x:v>
      </x:c>
      <x:c r="AF52" s="6" t="str">
        <x:v>OPS；COMMON</x:v>
      </x:c>
    </x:row>
    <x:row r="53" ht="54" customHeight="1">
      <x:c r="A53" s="14" t="str">
        <x:v>STD-052</x:v>
      </x:c>
      <x:c r="B53" s="11" t="str">
        <x:v>标准工作流</x:v>
      </x:c>
      <x:c r="C53" s="18" t="str">
        <x:v>M-STD-052</x:v>
      </x:c>
      <x:c r="D53" s="11" t="str">
        <x:v>分段截面近似变截面门架</x:v>
      </x:c>
      <x:c r="E53" s="11" t="str">
        <x:v>门式刚架</x:v>
      </x:c>
      <x:c r="F53" s="18" t="str">
        <x:v>2D</x:v>
      </x:c>
      <x:c r="G53" s="11" t="str">
        <x:v>分段常截面近似</x:v>
      </x:c>
      <x:c r="H53" s="18" t="str">
        <x:v>L3</x:v>
      </x:c>
      <x:c r="I53" s="11" t="str">
        <x:v>不同截面必须正确分配并保持刚接连续，不允许暗用连续变截面公式。</x:v>
      </x:c>
      <x:c r="J53" s="18" t="str">
        <x:v>英文</x:v>
      </x:c>
      <x:c r="K53" s="11" t="str">
        <x:v>完整文字任务 + 随题分析属性表（待编制）</x:v>
      </x:c>
      <x:c r="L53" s="22" t="n">
        <x:v>1</x:v>
      </x:c>
      <x:c r="M53" s="11" t="str">
        <x:v>跨度22m、高7m，屋面梁分三段给定常截面，不采用连续变截面单元；完整属性按公共契约随题给出。 水平屋面在x=5m、17m分界，三段分别给B1/B2/B3，向下6kN/m。</x:v>
      </x:c>
      <x:c r="N53" s="11" t="str">
        <x:v>分段属性与几何连续性</x:v>
      </x:c>
      <x:c r="O53" s="11" t="str">
        <x:v>屋面跨中及分界位移、分界两侧端力、柱脚反力；附截面分段表。</x:v>
      </x:c>
      <x:c r="P53" s="11" t="str">
        <x:v>分段属性与几何连续性；指定位置/分量对照数值真值，输出文字与结构化结果保持符号、单位和工况一致。</x:v>
      </x:c>
      <x:c r="Q53" s="18" t="str">
        <x:v>新增</x:v>
      </x:c>
      <x:c r="R53" s="11" t="str">
        <x:v>无</x:v>
      </x:c>
      <x:c r="S53" s="11" t="str">
        <x:v>无</x:v>
      </x:c>
      <x:c r="T53" s="11" t="str">
        <x:v>新增工程场景；母模型、提示词和真值均待建立。</x:v>
      </x:c>
      <x:c r="U53" s="11" t="str">
        <x:v>拟建立独立审定的 OpenSees 模型及同版本/同设置参考结果；独立分段框架刚度法；界面位移/转角连续，端力平衡及分段加密一致性。 参考值尚未生成。 所有题定输出均须覆盖，校核实现不复用被测转换链路。</x:v>
      </x:c>
      <x:c r="V53" s="11" t="str">
        <x:v>基础工具；完整题面、参数/单位契约与真值待验证</x:v>
      </x:c>
      <x:c r="W53" s="11" t="str">
        <x:v>规划，待编题与验证</x:v>
      </x:c>
      <x:c r="X53" s="11" t="str">
        <x:v>OpenSees</x:v>
      </x:c>
      <x:c r="Y53" s="18" t="str">
        <x:v>OpenSees</x:v>
      </x:c>
      <x:c r="Z53" s="11" t="str">
        <x:v>当前为二维门架力学模型，采用 OpenSees，保留真实屋面/悬挑/边界。 本题重点：分段属性与几何连续性。</x:v>
      </x:c>
      <x:c r="AA53" s="11" t="str">
        <x:v>拟要求真实 OpenSees 求解，保存输入与原始结果的对应关系；解析式/独立矩阵解用于校核，不能替代规定引擎执行证据。</x:v>
      </x:c>
      <x:c r="AB53" s="11" t="str">
        <x:v>待逐题验证</x:v>
      </x:c>
      <x:c r="AC53" s="11" t="str">
        <x:v>屋面分段常截面和内部分界的连续性及结果读取须验收。 当前无据认定接口不支持；需实际能力测试后确定，不将未验证能力记为模型失败。</x:v>
      </x:c>
      <x:c r="AD5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3" s="11" t="str">
        <x:v>拟保存（尚未生成）：OpenSees 版本、可运行模型/脚本、节点构件和荷载表、实际计算日志、原始结果与工况索引、平衡/独立解校核记录。</x:v>
      </x:c>
      <x:c r="AF53" s="11" t="str">
        <x:v>OPS；COMMON</x:v>
      </x:c>
    </x:row>
    <x:row r="54" ht="54" customHeight="1">
      <x:c r="A54" s="15" t="str">
        <x:v>STD-053</x:v>
      </x:c>
      <x:c r="B54" s="6" t="str">
        <x:v>标准工作流</x:v>
      </x:c>
      <x:c r="C54" s="19" t="str">
        <x:v>M-STD-053</x:v>
      </x:c>
      <x:c r="D54" s="6" t="str">
        <x:v>铰固混合柱脚门架</x:v>
      </x:c>
      <x:c r="E54" s="6" t="str">
        <x:v>门式刚架</x:v>
      </x:c>
      <x:c r="F54" s="19" t="str">
        <x:v>2D</x:v>
      </x:c>
      <x:c r="G54" s="6" t="str">
        <x:v>两侧不同柱脚</x:v>
      </x:c>
      <x:c r="H54" s="19" t="str">
        <x:v>L2</x:v>
      </x:c>
      <x:c r="I54" s="6" t="str">
        <x:v>左右边界不相同且荷载方向混合，不能镜像复制约束。</x:v>
      </x:c>
      <x:c r="J54" s="19" t="str">
        <x:v>中文</x:v>
      </x:c>
      <x:c r="K54" s="6" t="str">
        <x:v>完整文字任务 + 随题分析属性表（待编制）</x:v>
      </x:c>
      <x:c r="L54" s="23" t="n">
        <x:v>1</x:v>
      </x:c>
      <x:c r="M54" s="6" t="str">
        <x:v>跨度16m、高6m，左柱脚铰支右固支，竖载与右柱顶水平力；完整属性按公共契约随题给出。 屋面向下5kN/m，右柱顶X向20kN；左柱脚转角自由而右柱脚固定。</x:v>
      </x:c>
      <x:c r="N54" s="6" t="str">
        <x:v>两侧边界不同不能复制约束</x:v>
      </x:c>
      <x:c r="O54" s="6" t="str">
        <x:v>左右柱顶位移、左柱脚转角及两柱脚反力/弯矩。</x:v>
      </x:c>
      <x:c r="P54" s="6" t="str">
        <x:v>两侧边界不同不能复制约束；指定位置/分量对照数值真值，输出文字与结构化结果保持符号、单位和工况一致。</x:v>
      </x:c>
      <x:c r="Q54" s="19" t="str">
        <x:v>新增</x:v>
      </x:c>
      <x:c r="R54" s="6" t="str">
        <x:v>无</x:v>
      </x:c>
      <x:c r="S54" s="6" t="str">
        <x:v>无</x:v>
      </x:c>
      <x:c r="T54" s="6" t="str">
        <x:v>新增工程场景；母模型、提示词和真值均待建立。</x:v>
      </x:c>
      <x:c r="U54" s="6" t="str">
        <x:v>拟建立独立审定的 OpenSees 模型及同版本/同设置参考结果；独立框架解；左铰端弯矩为零作约束检查，整体力矩与侧移复核。 参考值尚未生成。 所有题定输出均须覆盖，校核实现不复用被测转换链路。</x:v>
      </x:c>
      <x:c r="V54" s="6" t="str">
        <x:v>基础工具；完整题面、参数/单位契约与真值待验证</x:v>
      </x:c>
      <x:c r="W54" s="6" t="str">
        <x:v>规划，待编题与验证</x:v>
      </x:c>
      <x:c r="X54" s="6" t="str">
        <x:v>OpenSees</x:v>
      </x:c>
      <x:c r="Y54" s="19" t="str">
        <x:v>OpenSees</x:v>
      </x:c>
      <x:c r="Z54" s="6" t="str">
        <x:v>当前为二维门架力学模型，采用 OpenSees，保留真实屋面/悬挑/边界。 本题重点：两侧边界不同不能复制约束。</x:v>
      </x:c>
      <x:c r="AA54" s="6" t="str">
        <x:v>拟要求真实 OpenSees 求解，保存输入与原始结果的对应关系；解析式/独立矩阵解用于校核，不能替代规定引擎执行证据。</x:v>
      </x:c>
      <x:c r="AB54" s="6" t="str">
        <x:v>待逐题验证</x:v>
      </x:c>
      <x:c r="AC54" s="6" t="str">
        <x:v>两侧不同柱脚转动约束和自由转角输出须验收。 当前无据认定接口不支持；需实际能力测试后确定，不将未验证能力记为模型失败。</x:v>
      </x:c>
      <x:c r="AD5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4" s="6" t="str">
        <x:v>拟保存（尚未生成）：OpenSees 版本、可运行模型/脚本、节点构件和荷载表、实际计算日志、原始结果与工况索引、平衡/独立解校核记录。</x:v>
      </x:c>
      <x:c r="AF54" s="6" t="str">
        <x:v>OPS；COMMON</x:v>
      </x:c>
    </x:row>
    <x:row r="55" ht="54" customHeight="1">
      <x:c r="A55" s="14" t="str">
        <x:v>STD-054</x:v>
      </x:c>
      <x:c r="B55" s="11" t="str">
        <x:v>标准工作流</x:v>
      </x:c>
      <x:c r="C55" s="18" t="str">
        <x:v>M-STD-054</x:v>
      </x:c>
      <x:c r="D55" s="11" t="str">
        <x:v>不等跨门架不同构件组</x:v>
      </x:c>
      <x:c r="E55" s="11" t="str">
        <x:v>门式刚架</x:v>
      </x:c>
      <x:c r="F55" s="18" t="str">
        <x:v>2D</x:v>
      </x:c>
      <x:c r="G55" s="11" t="str">
        <x:v>多构件组与双工况</x:v>
      </x:c>
      <x:c r="H55" s="18" t="str">
        <x:v>L3</x:v>
      </x:c>
      <x:c r="I55" s="11" t="str">
        <x:v>不等跨、外/中柱与梁分组、双工况结果归属联合映射。</x:v>
      </x:c>
      <x:c r="J55" s="18" t="str">
        <x:v>英文</x:v>
      </x:c>
      <x:c r="K55" s="11" t="str">
        <x:v>完整文字任务 + 随题分析属性表（待编制）</x:v>
      </x:c>
      <x:c r="L55" s="22" t="n">
        <x:v>1</x:v>
      </x:c>
      <x:c r="M55" s="11" t="str">
        <x:v>跨度12、15m、高7m，外柱中柱梁三组截面，D/W两个明确工况；完整属性按公共契约随题给出。 D两跨屋面各6kN/m；W作用两外柱顶各X向10kN；C0=D、C1=D+W。</x:v>
      </x:c>
      <x:c r="N55" s="11" t="str">
        <x:v>构件角色分组及荷载方向</x:v>
      </x:c>
      <x:c r="O55" s="11" t="str">
        <x:v>各柱顶位移、各柱脚反力与代表梁柱端力，附成员组和组合编号。</x:v>
      </x:c>
      <x:c r="P55" s="11" t="str">
        <x:v>构件角色分组及荷载方向；指定位置/分量对照数值真值，输出文字与结构化结果保持符号、单位和工况一致。</x:v>
      </x:c>
      <x:c r="Q55" s="18" t="str">
        <x:v>新增</x:v>
      </x:c>
      <x:c r="R55" s="11" t="str">
        <x:v>无</x:v>
      </x:c>
      <x:c r="S55" s="11" t="str">
        <x:v>无</x:v>
      </x:c>
      <x:c r="T55" s="11" t="str">
        <x:v>新增工程场景；母模型、提示词和真值均待建立。</x:v>
      </x:c>
      <x:c r="U55" s="11" t="str">
        <x:v>拟建立独立审定的 OpenSees 模型及同版本/同设置参考结果；独立按成员属性组装框架矩阵；分别核查D、W与组合的平衡和叠加。 参考值尚未生成。 所有题定输出均须覆盖，校核实现不复用被测转换链路。</x:v>
      </x:c>
      <x:c r="V55" s="11" t="str">
        <x:v>多组合执行契约需验证；完整题面、参数/单位契约与真值待验证</x:v>
      </x:c>
      <x:c r="W55" s="11" t="str">
        <x:v>规划，待编题与验证</x:v>
      </x:c>
      <x:c r="X55" s="11" t="str">
        <x:v>OpenSees</x:v>
      </x:c>
      <x:c r="Y55" s="18" t="str">
        <x:v>OpenSees</x:v>
      </x:c>
      <x:c r="Z55" s="11" t="str">
        <x:v>当前为二维门架力学模型，采用 OpenSees，保留真实屋面/悬挑/边界。 本题重点：构件角色分组及荷载方向。</x:v>
      </x:c>
      <x:c r="AA55" s="11" t="str">
        <x:v>拟要求真实 OpenSees 求解，保存输入与原始结果的对应关系；解析式/独立矩阵解用于校核，不能替代规定引擎执行证据。</x:v>
      </x:c>
      <x:c r="AB55" s="11" t="str">
        <x:v>待逐题验证</x:v>
      </x:c>
      <x:c r="AC55" s="11" t="str">
        <x:v>成员组和 D/W 独立工况、组合结果索引须验证。 当前无据认定接口不支持；需实际能力测试后确定，不将未验证能力记为模型失败。</x:v>
      </x:c>
      <x:c r="AD5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5" s="11" t="str">
        <x:v>拟保存（尚未生成）：OpenSees 版本、可运行模型/脚本、节点构件和荷载表、实际计算日志、原始结果与工况索引、平衡/独立解校核记录。</x:v>
      </x:c>
      <x:c r="AF55" s="11" t="str">
        <x:v>OPS；COMMON</x:v>
      </x:c>
    </x:row>
    <x:row r="56" ht="54" customHeight="1">
      <x:c r="A56" s="15" t="str">
        <x:v>STD-055</x:v>
      </x:c>
      <x:c r="B56" s="6" t="str">
        <x:v>标准工作流</x:v>
      </x:c>
      <x:c r="C56" s="19" t="str">
        <x:v>M-STD-055</x:v>
      </x:c>
      <x:c r="D56" s="6" t="str">
        <x:v>两层单跨钢框架</x:v>
      </x:c>
      <x:c r="E56" s="6" t="str">
        <x:v>平面钢框架</x:v>
      </x:c>
      <x:c r="F56" s="19" t="str">
        <x:v>2D</x:v>
      </x:c>
      <x:c r="G56" s="6" t="str">
        <x:v>面载折算与节点响应</x:v>
      </x:c>
      <x:c r="H56" s="19" t="str">
        <x:v>L1</x:v>
      </x:c>
      <x:c r="I56" s="6" t="str">
        <x:v>结构规则，受荷宽度已给定；关键是一次折算和节点结果位置。</x:v>
      </x:c>
      <x:c r="J56" s="19" t="str">
        <x:v>中文</x:v>
      </x:c>
      <x:c r="K56" s="6" t="str">
        <x:v>完整文字任务 + 随题分析属性表（待编制）</x:v>
      </x:c>
      <x:c r="L56" s="23" t="n">
        <x:v>1</x:v>
      </x:c>
      <x:c r="M56" s="6" t="str">
        <x:v>两层各3.6m、跨6m，面载10kN/m²按6m受荷宽度折算，仅施加线载；完整属性按公共契约随题给出。 明确每层只施加60kN/m梁线载；各层左右梁柱节点分别报告，不能合成虚构刚性楼层位移。</x:v>
      </x:c>
      <x:c r="N56" s="6" t="str">
        <x:v>面载不能与折算线载重复</x:v>
      </x:c>
      <x:c r="O56" s="6" t="str">
        <x:v>每层左右节点X/Z位移、左右柱列层间位移差及柱脚反力。</x:v>
      </x:c>
      <x:c r="P56" s="6" t="str">
        <x:v>面载不能与折算线载重复；指定位置/分量对照数值真值，输出文字与结构化结果保持符号、单位和工况一致。</x:v>
      </x:c>
      <x:c r="Q56" s="19" t="str">
        <x:v>旧题改编</x:v>
      </x:c>
      <x:c r="R56" s="6" t="str">
        <x:v>frame-2story-1bay-static</x:v>
      </x:c>
      <x:c r="S56" s="6" t="str">
        <x:v>无</x:v>
      </x:c>
      <x:c r="T56" s="6" t="str">
        <x:v>保留旧题主要几何与荷载，显式补齐单位、自重、观测位置和结果评分；新契约下须重新核验真值。</x:v>
      </x:c>
      <x:c r="U56" s="6" t="str">
        <x:v>拟建立独立审定的 OpenSees 模型及同版本/同设置参考结果；独立二维框架刚度解；楼层总荷载和平衡核对，逐列计算相邻层位移差。 参考值尚未生成。 所有题定输出均须覆盖，校核实现不复用被测转换链路。</x:v>
      </x:c>
      <x:c r="V56" s="6" t="str">
        <x:v>基础工具；完整题面、参数/单位契约与真值待验证</x:v>
      </x:c>
      <x:c r="W56" s="6" t="str">
        <x:v>规划，待编题与验证</x:v>
      </x:c>
      <x:c r="X56" s="6" t="str">
        <x:v>OpenSees</x:v>
      </x:c>
      <x:c r="Y56" s="19" t="str">
        <x:v>OpenSees</x:v>
      </x:c>
      <x:c r="Z56" s="6" t="str">
        <x:v>当前为二维钢框架题，采用 OpenSees，保留平面分析假设，不增造空间柱网。 本题重点：面载不能与折算线载重复。</x:v>
      </x:c>
      <x:c r="AA56" s="6" t="str">
        <x:v>拟要求真实 OpenSees 求解，保存输入与原始结果的对应关系；解析式/独立矩阵解用于校核，不能替代规定引擎执行证据。</x:v>
      </x:c>
      <x:c r="AB56" s="6" t="str">
        <x:v>待逐题验证</x:v>
      </x:c>
      <x:c r="AC56" s="6" t="str">
        <x:v>只施加折算后的梁线载；逐柱列位移不得替换为刚性楼层平均。 当前无据认定接口不支持；需实际能力测试后确定，不将未验证能力记为模型失败。</x:v>
      </x:c>
      <x:c r="AD5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6" s="6" t="str">
        <x:v>拟保存（尚未生成）：OpenSees 版本、可运行模型/脚本、节点构件和荷载表、实际计算日志、原始结果与工况索引、平衡/独立解校核记录。</x:v>
      </x:c>
      <x:c r="AF56" s="6" t="str">
        <x:v>OPS；COMMON</x:v>
      </x:c>
    </x:row>
    <x:row r="57" ht="54" customHeight="1">
      <x:c r="A57" s="14" t="str">
        <x:v>STD-056</x:v>
      </x:c>
      <x:c r="B57" s="11" t="str">
        <x:v>标准工作流</x:v>
      </x:c>
      <x:c r="C57" s="18" t="str">
        <x:v>M-STD-056</x:v>
      </x:c>
      <x:c r="D57" s="11" t="str">
        <x:v>24m工业重型框架</x:v>
      </x:c>
      <x:c r="E57" s="11" t="str">
        <x:v>平面钢框架</x:v>
      </x:c>
      <x:c r="F57" s="18" t="str">
        <x:v>2D</x:v>
      </x:c>
      <x:c r="G57" s="11" t="str">
        <x:v>面载来源与吊车等效力</x:v>
      </x:c>
      <x:c r="H57" s="18" t="str">
        <x:v>L2</x:v>
      </x:c>
      <x:c r="I57" s="11" t="str">
        <x:v>面载/线载的等价说明与非对称吊车节点力并存，易重复或误放加载。</x:v>
      </x:c>
      <x:c r="J57" s="18" t="str">
        <x:v>英文</x:v>
      </x:c>
      <x:c r="K57" s="11" t="str">
        <x:v>完整文字任务 + 随题分析属性表（待编制）</x:v>
      </x:c>
      <x:c r="L57" s="22" t="n">
        <x:v>1</x:v>
      </x:c>
      <x:c r="M57" s="11" t="str">
        <x:v>跨度24m、高12m，屋面36kN/m，右柱顶向下98kN及X向10kN；完整属性按公共契约随题给出。 屋面36kN/m已经折算；吊车在右柱顶施加两分量，原1.5kN/m²只作来源说明。</x:v>
      </x:c>
      <x:c r="N57" s="11" t="str">
        <x:v>吊车等效荷载方向与屋面分项</x:v>
      </x:c>
      <x:c r="O57" s="11" t="str">
        <x:v>左右柱顶位移、屋面跨中位移、柱脚反力及右柱端弯矩。</x:v>
      </x:c>
      <x:c r="P57" s="11" t="str">
        <x:v>吊车等效荷载方向与屋面分项；指定位置/分量对照数值真值，输出文字与结构化结果保持符号、单位和工况一致。</x:v>
      </x:c>
      <x:c r="Q57" s="18" t="str">
        <x:v>旧题改编</x:v>
      </x:c>
      <x:c r="R57" s="11" t="str">
        <x:v>frame-industrial-heavy</x:v>
      </x:c>
      <x:c r="S57" s="11" t="str">
        <x:v>无</x:v>
      </x:c>
      <x:c r="T57" s="11" t="str">
        <x:v>保留旧题主要几何与荷载，显式补齐单位、自重、观测位置和结果评分；新契约下须重新核验真值。</x:v>
      </x:c>
      <x:c r="U57" s="11" t="str">
        <x:v>拟建立独立审定的 OpenSees 模型及同版本/同设置参考结果；独立框架解；按36kN/m及98/10kN分别复核合力和总力矩。 参考值尚未生成。 所有题定输出均须覆盖，校核实现不复用被测转换链路。</x:v>
      </x:c>
      <x:c r="V57" s="11" t="str">
        <x:v>基础工具；完整题面、参数/单位契约与真值待验证</x:v>
      </x:c>
      <x:c r="W57" s="11" t="str">
        <x:v>规划，待编题与验证</x:v>
      </x:c>
      <x:c r="X57" s="11" t="str">
        <x:v>OpenSees</x:v>
      </x:c>
      <x:c r="Y57" s="18" t="str">
        <x:v>OpenSees</x:v>
      </x:c>
      <x:c r="Z57" s="11" t="str">
        <x:v>当前为二维钢框架题，采用 OpenSees，保留平面分析假设，不增造空间柱网。 本题重点：吊车等效荷载方向与屋面分项。</x:v>
      </x:c>
      <x:c r="AA57" s="11" t="str">
        <x:v>拟要求真实 OpenSees 求解，保存输入与原始结果的对应关系；解析式/独立矩阵解用于校核，不能替代规定引擎执行证据。</x:v>
      </x:c>
      <x:c r="AB57" s="11" t="str">
        <x:v>待逐题验证</x:v>
      </x:c>
      <x:c r="AC57" s="11" t="str">
        <x:v>屋面线载与吊车集中力分别入模，不得重复施加来源面载。 当前无据认定接口不支持；需实际能力测试后确定，不将未验证能力记为模型失败。</x:v>
      </x:c>
      <x:c r="AD5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7" s="11" t="str">
        <x:v>拟保存（尚未生成）：OpenSees 版本、可运行模型/脚本、节点构件和荷载表、实际计算日志、原始结果与工况索引、平衡/独立解校核记录。</x:v>
      </x:c>
      <x:c r="AF57" s="11" t="str">
        <x:v>OPS；COMMON</x:v>
      </x:c>
    </x:row>
    <x:row r="58" ht="54" customHeight="1">
      <x:c r="A58" s="15" t="str">
        <x:v>STD-057</x:v>
      </x:c>
      <x:c r="B58" s="6" t="str">
        <x:v>标准工作流</x:v>
      </x:c>
      <x:c r="C58" s="19" t="str">
        <x:v>M-STD-057</x:v>
      </x:c>
      <x:c r="D58" s="6" t="str">
        <x:v>三层两跨框架分层侧力</x:v>
      </x:c>
      <x:c r="E58" s="6" t="str">
        <x:v>平面钢框架</x:v>
      </x:c>
      <x:c r="F58" s="19" t="str">
        <x:v>2D</x:v>
      </x:c>
      <x:c r="G58" s="6" t="str">
        <x:v>分层侧力与竖载组合</x:v>
      </x:c>
      <x:c r="H58" s="19" t="str">
        <x:v>L2</x:v>
      </x:c>
      <x:c r="I58" s="6" t="str">
        <x:v>侧力值按楼层顺序不同且与重力共存，需要保持节点和工况索引。</x:v>
      </x:c>
      <x:c r="J58" s="19" t="str">
        <x:v>中文</x:v>
      </x:c>
      <x:c r="K58" s="6" t="str">
        <x:v>完整文字任务 + 随题分析属性表（待编制）</x:v>
      </x:c>
      <x:c r="L58" s="23" t="n">
        <x:v>1</x:v>
      </x:c>
      <x:c r="M58" s="6" t="str">
        <x:v>三层各3.6m、两跨6m，各梁10kN/m，右侧逐层X向10、15、20kN；完整属性按公共契约随题给出。 D为各梁10kN/m，W为右侧一至三层10/15/20kN；求D、W、D+W。</x:v>
      </x:c>
      <x:c r="N58" s="6" t="str">
        <x:v>楼层作用点和力值顺序</x:v>
      </x:c>
      <x:c r="O58" s="6" t="str">
        <x:v>各层三条柱线X位移及对应层间位移差、柱脚反力、下层柱端弯矩。</x:v>
      </x:c>
      <x:c r="P58" s="6" t="str">
        <x:v>楼层作用点和力值顺序；指定位置/分量对照数值真值，输出文字与结构化结果保持符号、单位和工况一致。</x:v>
      </x:c>
      <x:c r="Q58" s="19" t="str">
        <x:v>旧题改编</x:v>
      </x:c>
      <x:c r="R58" s="6" t="str">
        <x:v>std-frame-3s2b-wind</x:v>
      </x:c>
      <x:c r="S58" s="6" t="str">
        <x:v>无</x:v>
      </x:c>
      <x:c r="T58" s="6" t="str">
        <x:v>保留旧题主要几何与荷载，显式补齐单位、自重、观测位置和结果评分；新契约下须重新核验真值。</x:v>
      </x:c>
      <x:c r="U58" s="6" t="str">
        <x:v>拟建立独立审定的 OpenSees 模型及同版本/同设置参考结果；独立框架矩阵解；风荷载总剪力/倾覆力矩与反力复核，检查线性叠加。 参考值尚未生成。 所有题定输出均须覆盖，校核实现不复用被测转换链路。</x:v>
      </x:c>
      <x:c r="V58" s="6" t="str">
        <x:v>多工况/多组合执行及结果索引需验证；完整题面、参数/单位契约与真值待验证</x:v>
      </x:c>
      <x:c r="W58" s="6" t="str">
        <x:v>规划，待编题与验证</x:v>
      </x:c>
      <x:c r="X58" s="6" t="str">
        <x:v>OpenSees</x:v>
      </x:c>
      <x:c r="Y58" s="19" t="str">
        <x:v>OpenSees</x:v>
      </x:c>
      <x:c r="Z58" s="6" t="str">
        <x:v>当前为二维钢框架题，采用 OpenSees，保留平面分析假设，不增造空间柱网。 本题重点：楼层作用点和力值顺序。</x:v>
      </x:c>
      <x:c r="AA58" s="6" t="str">
        <x:v>拟要求真实 OpenSees 求解，保存输入与原始结果的对应关系；解析式/独立矩阵解用于校核，不能替代规定引擎执行证据。</x:v>
      </x:c>
      <x:c r="AB58" s="6" t="str">
        <x:v>待逐题验证</x:v>
      </x:c>
      <x:c r="AC58" s="6" t="str">
        <x:v>三层节点侧力与 D、W、D+W 结果索引须验证。 当前无据认定接口不支持；需实际能力测试后确定，不将未验证能力记为模型失败。</x:v>
      </x:c>
      <x:c r="AD5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8" s="6" t="str">
        <x:v>拟保存（尚未生成）：OpenSees 版本、可运行模型/脚本、节点构件和荷载表、实际计算日志、原始结果与工况索引、平衡/独立解校核记录。</x:v>
      </x:c>
      <x:c r="AF58" s="6" t="str">
        <x:v>OPS；COMMON</x:v>
      </x:c>
    </x:row>
    <x:row r="59" ht="54" customHeight="1">
      <x:c r="A59" s="14" t="str">
        <x:v>STD-058</x:v>
      </x:c>
      <x:c r="B59" s="11" t="str">
        <x:v>标准工作流</x:v>
      </x:c>
      <x:c r="C59" s="18" t="str">
        <x:v>M-STD-058</x:v>
      </x:c>
      <x:c r="D59" s="11" t="str">
        <x:v>单层单跨侧向框架</x:v>
      </x:c>
      <x:c r="E59" s="11" t="str">
        <x:v>平面钢框架</x:v>
      </x:c>
      <x:c r="F59" s="18" t="str">
        <x:v>2D</x:v>
      </x:c>
      <x:c r="G59" s="11" t="str">
        <x:v>基础侧向刚架</x:v>
      </x:c>
      <x:c r="H59" s="18" t="str">
        <x:v>L1</x:v>
      </x:c>
      <x:c r="I59" s="11" t="str">
        <x:v>单层单跨边界及荷载明确；generic路由名称不构成高难度。</x:v>
      </x:c>
      <x:c r="J59" s="18" t="str">
        <x:v>英文</x:v>
      </x:c>
      <x:c r="K59" s="11" t="str">
        <x:v>完整文字任务 + 随题分析属性表（待编制）</x:v>
      </x:c>
      <x:c r="L59" s="22" t="n">
        <x:v>1</x:v>
      </x:c>
      <x:c r="M59" s="11" t="str">
        <x:v>跨6m、高4m、两柱脚固定，右上节点X向50kN；完整属性按公共契约随题给出。 右上节点单独施加50kN，不把两柱顶当作刚性楼板耦合。</x:v>
      </x:c>
      <x:c r="N59" s="11" t="str">
        <x:v>完整物理框架不因generic而升级难度</x:v>
      </x:c>
      <x:c r="O59" s="11" t="str">
        <x:v>左右柱顶X位移、屋面端力、两柱脚剪力和弯矩。</x:v>
      </x:c>
      <x:c r="P59" s="11" t="str">
        <x:v>完整物理框架不因generic而升级难度；指定位置/分量对照数值真值，输出文字与结构化结果保持符号、单位和工况一致。</x:v>
      </x:c>
      <x:c r="Q59" s="18" t="str">
        <x:v>旧题改编</x:v>
      </x:c>
      <x:c r="R59" s="11" t="str">
        <x:v>std-generic-single-bay-lateral</x:v>
      </x:c>
      <x:c r="S59" s="11" t="str">
        <x:v>无</x:v>
      </x:c>
      <x:c r="T59" s="11" t="str">
        <x:v>保留旧题主要几何与荷载，显式补齐单位、自重、观测位置和结果评分；新契约下须重新核验真值。</x:v>
      </x:c>
      <x:c r="U59" s="11" t="str">
        <x:v>拟建立独立审定的 OpenSees 模型及同版本/同设置参考结果；独立二维框架解；侧向合力和倾覆力矩平衡，端部节点平衡复核。 参考值尚未生成。 所有题定输出均须覆盖，校核实现不复用被测转换链路。</x:v>
      </x:c>
      <x:c r="V59" s="11" t="str">
        <x:v>基础工具；完整题面、参数/单位契约与真值待验证</x:v>
      </x:c>
      <x:c r="W59" s="11" t="str">
        <x:v>规划，待编题与验证</x:v>
      </x:c>
      <x:c r="X59" s="11" t="str">
        <x:v>OpenSees</x:v>
      </x:c>
      <x:c r="Y59" s="18" t="str">
        <x:v>OpenSees</x:v>
      </x:c>
      <x:c r="Z59" s="11" t="str">
        <x:v>当前为二维钢框架题，采用 OpenSees，保留平面分析假设，不增造空间柱网。 本题重点：完整物理框架不因generic而升级难度。</x:v>
      </x:c>
      <x:c r="AA59" s="11" t="str">
        <x:v>拟要求真实 OpenSees 求解，保存输入与原始结果的对应关系；解析式/独立矩阵解用于校核，不能替代规定引擎执行证据。</x:v>
      </x:c>
      <x:c r="AB59" s="11" t="str">
        <x:v>待逐题验证</x:v>
      </x:c>
      <x:c r="AC59" s="11" t="str">
        <x:v>逐题核验完整物理框架不因generic而升级难度；输入、结果分量/位置及数值标答尚未完成验收。 当前无据认定接口不支持；需实际能力测试后确定，不将未验证能力记为模型失败。</x:v>
      </x:c>
      <x:c r="AD5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59" s="11" t="str">
        <x:v>拟保存（尚未生成）：OpenSees 版本、可运行模型/脚本、节点构件和荷载表、实际计算日志、原始结果与工况索引、平衡/独立解校核记录。</x:v>
      </x:c>
      <x:c r="AF59" s="11" t="str">
        <x:v>OPS；COMMON</x:v>
      </x:c>
    </x:row>
    <x:row r="60" ht="54" customHeight="1">
      <x:c r="A60" s="15" t="str">
        <x:v>STD-059</x:v>
      </x:c>
      <x:c r="B60" s="6" t="str">
        <x:v>标准工作流</x:v>
      </x:c>
      <x:c r="C60" s="19" t="str">
        <x:v>M-STD-059</x:v>
      </x:c>
      <x:c r="D60" s="6" t="str">
        <x:v>带中高连系梁的单层钢框架</x:v>
      </x:c>
      <x:c r="E60" s="6" t="str">
        <x:v>平面钢框架</x:v>
      </x:c>
      <x:c r="F60" s="19" t="str">
        <x:v>2D</x:v>
      </x:c>
      <x:c r="G60" s="6" t="str">
        <x:v>连系梁接入与受荷宽度</x:v>
      </x:c>
      <x:c r="H60" s="19" t="str">
        <x:v>L2</x:v>
      </x:c>
      <x:c r="I60" s="6" t="str">
        <x:v>屋面加载与中高无载连系梁共存，必须保留真实连接和刚度，不能按单横梁模板省略。</x:v>
      </x:c>
      <x:c r="J60" s="19" t="str">
        <x:v>中文</x:v>
      </x:c>
      <x:c r="K60" s="6" t="str">
        <x:v>完整文字任务 + 随题分析属性表（待编制）</x:v>
      </x:c>
      <x:c r="L60" s="23" t="n">
        <x:v>1</x:v>
      </x:c>
      <x:c r="M60" s="6" t="str">
        <x:v>单层单跨钢框架，跨6m、屋面高4.5m，两柱脚固定；新增z=2.25m水平连系梁与两柱刚接，连系梁无外载。屋面8kN/m²按6m宽度折成48kN/m，材料/截面按公共契约给出。</x:v>
      </x:c>
      <x:c r="N60" s="6" t="str">
        <x:v>中高连系梁使两柱分段并连通；无载连系梁仍参与刚度，屋面面载仅折算一次</x:v>
      </x:c>
      <x:c r="O60" s="6" t="str">
        <x:v>屋面及连系梁两端X/Z位移、屋面跨中位移、连系梁端力与柱脚反力。</x:v>
      </x:c>
      <x:c r="P60" s="6" t="str">
        <x:v>中高连系梁使两柱分段并连通；无载连系梁仍参与刚度，屋面面载仅折算一次；指定位置/分量对照数值真值，输出文字与结构化结果保持符号、单位和工况一致。</x:v>
      </x:c>
      <x:c r="Q60" s="19" t="str">
        <x:v>旧题改编</x:v>
      </x:c>
      <x:c r="R60" s="6" t="str">
        <x:v>re-frame-simple-1s1b-mechanics</x:v>
      </x:c>
      <x:c r="S60" s="6" t="str">
        <x:v>无</x:v>
      </x:c>
      <x:c r="T60" s="6" t="str">
        <x:v>将旧题的工程模型移植为完整文字建模任务；去除图片识别或更新流程，新增模型/数值/展示评分。 在旧单层框架中增设中高无载连系梁及柱上连接节点，形成新的传力拓扑。</x:v>
      </x:c>
      <x:c r="U60" s="6" t="str">
        <x:v>拟建立独立审定的 OpenSees 模型及同版本/同设置参考结果；独立二维框架矩阵解；连系梁节点平衡及屋面总载288kN复核，新拓扑下建立参考值。 所有题定输出均须覆盖，校核实现不复用被测转换链路。</x:v>
      </x:c>
      <x:c r="V60" s="6" t="str">
        <x:v>基础工具；完整题面、参数/单位契约与真值待验证</x:v>
      </x:c>
      <x:c r="W60" s="6" t="str">
        <x:v>规划，待编题与验证</x:v>
      </x:c>
      <x:c r="X60" s="6" t="str">
        <x:v>OpenSees</x:v>
      </x:c>
      <x:c r="Y60" s="19" t="str">
        <x:v>OpenSees</x:v>
      </x:c>
      <x:c r="Z60" s="6" t="str">
        <x:v>当前为二维钢框架题，采用 OpenSees，保留平面分析假设，不增造空间柱网。 本题重点：中高连系梁使两柱分段并连通；无载连系梁仍参与刚度，屋面面载仅折算一次。</x:v>
      </x:c>
      <x:c r="AA60" s="6" t="str">
        <x:v>拟要求真实 OpenSees 求解，保存输入与原始结果的对应关系；解析式/独立矩阵解用于校核，不能替代规定引擎执行证据。</x:v>
      </x:c>
      <x:c r="AB60" s="6" t="str">
        <x:v>待逐题验证</x:v>
      </x:c>
      <x:c r="AC60" s="6" t="str">
        <x:v>无载中高连系梁仍参与刚度，柱需在真实接点分段；输出须验收。 当前无据认定接口不支持；需实际能力测试后确定，不将未验证能力记为模型失败。</x:v>
      </x:c>
      <x:c r="AD6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0" s="6" t="str">
        <x:v>拟保存（尚未生成）：OpenSees 版本、可运行模型/脚本、节点构件和荷载表、实际计算日志、原始结果与工况索引、平衡/独立解校核记录。</x:v>
      </x:c>
      <x:c r="AF60" s="6" t="str">
        <x:v>OPS；COMMON</x:v>
      </x:c>
    </x:row>
    <x:row r="61" ht="54" customHeight="1">
      <x:c r="A61" s="14" t="str">
        <x:v>STD-060</x:v>
      </x:c>
      <x:c r="B61" s="11" t="str">
        <x:v>标准工作流</x:v>
      </x:c>
      <x:c r="C61" s="18" t="str">
        <x:v>M-STD-060</x:v>
      </x:c>
      <x:c r="D61" s="11" t="str">
        <x:v>两层不等跨框架D与L</x:v>
      </x:c>
      <x:c r="E61" s="11" t="str">
        <x:v>平面钢框架</x:v>
      </x:c>
      <x:c r="F61" s="18" t="str">
        <x:v>2D</x:v>
      </x:c>
      <x:c r="G61" s="11" t="str">
        <x:v>独立恒活载与组合</x:v>
      </x:c>
      <x:c r="H61" s="18" t="str">
        <x:v>L2</x:v>
      </x:c>
      <x:c r="I61" s="11" t="str">
        <x:v>不等跨几何和恒活载系数对应需要同时正确，不能混淆原载与组合。</x:v>
      </x:c>
      <x:c r="J61" s="18" t="str">
        <x:v>英文</x:v>
      </x:c>
      <x:c r="K61" s="11" t="str">
        <x:v>完整文字任务 + 随题分析属性表（待编制）</x:v>
      </x:c>
      <x:c r="L61" s="22" t="n">
        <x:v>1</x:v>
      </x:c>
      <x:c r="M61" s="11" t="str">
        <x:v>两层各3.6m，跨度5.4、6m，D=10、L=8kN/m，组合1.2D+1.4L；完整属性按公共契约随题给出。 将旧DXF转为文字尺寸/成员表；保留D和L，不先把10+8合成单工况再放大。</x:v>
      </x:c>
      <x:c r="N61" s="11" t="str">
        <x:v>不等跨及恒活载分离</x:v>
      </x:c>
      <x:c r="O61" s="11" t="str">
        <x:v>D、L和1.2D+1.4L下各层节点位移、柱脚反力与代表梁端弯矩。</x:v>
      </x:c>
      <x:c r="P61" s="11" t="str">
        <x:v>不等跨及恒活载分离；指定位置/分量对照数值真值，输出文字与结构化结果保持符号、单位和工况一致。</x:v>
      </x:c>
      <x:c r="Q61" s="18" t="str">
        <x:v>旧题改编</x:v>
      </x:c>
      <x:c r="R61" s="11" t="str">
        <x:v>re-dxf-frame-complex-2s2b</x:v>
      </x:c>
      <x:c r="S61" s="11" t="str">
        <x:v>无</x:v>
      </x:c>
      <x:c r="T61" s="11" t="str">
        <x:v>将旧题的工程模型移植为完整文字建模任务；去除图片识别或更新流程，新增模型/数值/展示评分。</x:v>
      </x:c>
      <x:c r="U61" s="11" t="str">
        <x:v>拟建立独立审定的 OpenSees 模型及同版本/同设置参考结果；独立框架解与线性叠加；核对组合总荷载，不接受对总18kN/m统一乘系数。 参考值尚未生成。 所有题定输出均须覆盖，校核实现不复用被测转换链路。</x:v>
      </x:c>
      <x:c r="V61" s="11" t="str">
        <x:v>多工况/多组合执行及结果索引需验证；完整题面、参数/单位契约与真值待验证</x:v>
      </x:c>
      <x:c r="W61" s="11" t="str">
        <x:v>规划，待编题与验证</x:v>
      </x:c>
      <x:c r="X61" s="11" t="str">
        <x:v>OpenSees</x:v>
      </x:c>
      <x:c r="Y61" s="18" t="str">
        <x:v>OpenSees</x:v>
      </x:c>
      <x:c r="Z61" s="11" t="str">
        <x:v>当前为二维钢框架题，采用 OpenSees，保留平面分析假设，不增造空间柱网。 本题重点：不等跨及恒活载分离。</x:v>
      </x:c>
      <x:c r="AA61" s="11" t="str">
        <x:v>拟要求真实 OpenSees 求解，保存输入与原始结果的对应关系；解析式/独立矩阵解用于校核，不能替代规定引擎执行证据。</x:v>
      </x:c>
      <x:c r="AB61" s="11" t="str">
        <x:v>待逐题验证</x:v>
      </x:c>
      <x:c r="AC61" s="11" t="str">
        <x:v>D、L、1.2D+1.4L 的独立保存及结果索引须验证。 当前无据认定接口不支持；需实际能力测试后确定，不将未验证能力记为模型失败。</x:v>
      </x:c>
      <x:c r="AD6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1" s="11" t="str">
        <x:v>拟保存（尚未生成）：OpenSees 版本、可运行模型/脚本、节点构件和荷载表、实际计算日志、原始结果与工况索引、平衡/独立解校核记录。</x:v>
      </x:c>
      <x:c r="AF61" s="11" t="str">
        <x:v>OPS；COMMON</x:v>
      </x:c>
    </x:row>
    <x:row r="62" ht="54" customHeight="1">
      <x:c r="A62" s="15" t="str">
        <x:v>STD-061</x:v>
      </x:c>
      <x:c r="B62" s="6" t="str">
        <x:v>标准工作流</x:v>
      </x:c>
      <x:c r="C62" s="19" t="str">
        <x:v>M-STD-061</x:v>
      </x:c>
      <x:c r="D62" s="6" t="str">
        <x:v>不等层高不等跨钢框架</x:v>
      </x:c>
      <x:c r="E62" s="6" t="str">
        <x:v>平面钢框架</x:v>
      </x:c>
      <x:c r="F62" s="19" t="str">
        <x:v>2D</x:v>
      </x:c>
      <x:c r="G62" s="6" t="str">
        <x:v>不等层高与不等跨</x:v>
      </x:c>
      <x:c r="H62" s="19" t="str">
        <x:v>L2</x:v>
      </x:c>
      <x:c r="I62" s="6" t="str">
        <x:v>层高要累计，跨度与逐梁荷载列表互相对应，不能生成等间距网格。</x:v>
      </x:c>
      <x:c r="J62" s="19" t="str">
        <x:v>中文</x:v>
      </x:c>
      <x:c r="K62" s="6" t="str">
        <x:v>完整文字任务 + 随题分析属性表（待编制）</x:v>
      </x:c>
      <x:c r="L62" s="23" t="n">
        <x:v>1</x:v>
      </x:c>
      <x:c r="M62" s="6" t="str">
        <x:v>两层3.6、4.2m，两跨4.5、7.5m，逐梁明示线载；完整属性按公共契约随题给出。 楼层标高为3.6m、7.8m；下层左右梁线载8/12，上层6/10kN/m。</x:v>
      </x:c>
      <x:c r="N62" s="6" t="str">
        <x:v>标高累加与跨度列表</x:v>
      </x:c>
      <x:c r="O62" s="6" t="str">
        <x:v>每层每柱线位移、逐柱列层间位移差及三柱脚反力。</x:v>
      </x:c>
      <x:c r="P62" s="6" t="str">
        <x:v>标高累加与跨度列表；指定位置/分量对照数值真值，输出文字与结构化结果保持符号、单位和工况一致。</x:v>
      </x:c>
      <x:c r="Q62" s="19" t="str">
        <x:v>新增</x:v>
      </x:c>
      <x:c r="R62" s="6" t="str">
        <x:v>无</x:v>
      </x:c>
      <x:c r="S62" s="6" t="str">
        <x:v>无</x:v>
      </x:c>
      <x:c r="T62" s="6" t="str">
        <x:v>新增工程场景；母模型、提示词和真值均待建立。</x:v>
      </x:c>
      <x:c r="U62" s="6" t="str">
        <x:v>拟建立独立审定的 OpenSees 模型及同版本/同设置参考结果；独立二维框架矩阵解；按四根梁分别校核总载荷和节点平衡。 参考值尚未生成。 所有题定输出均须覆盖，校核实现不复用被测转换链路。</x:v>
      </x:c>
      <x:c r="V62" s="6" t="str">
        <x:v>基础工具；完整题面、参数/单位契约与真值待验证</x:v>
      </x:c>
      <x:c r="W62" s="6" t="str">
        <x:v>规划，待编题与验证</x:v>
      </x:c>
      <x:c r="X62" s="6" t="str">
        <x:v>OpenSees</x:v>
      </x:c>
      <x:c r="Y62" s="19" t="str">
        <x:v>OpenSees</x:v>
      </x:c>
      <x:c r="Z62" s="6" t="str">
        <x:v>当前为二维钢框架题，采用 OpenSees，保留平面分析假设，不增造空间柱网。 本题重点：标高累加与跨度列表。</x:v>
      </x:c>
      <x:c r="AA62" s="6" t="str">
        <x:v>拟要求真实 OpenSees 求解，保存输入与原始结果的对应关系；解析式/独立矩阵解用于校核，不能替代规定引擎执行证据。</x:v>
      </x:c>
      <x:c r="AB62" s="6" t="str">
        <x:v>待逐题验证</x:v>
      </x:c>
      <x:c r="AC62" s="6" t="str">
        <x:v>不等层高累加、左右梁不同线载映射须验收。 当前无据认定接口不支持；需实际能力测试后确定，不将未验证能力记为模型失败。</x:v>
      </x:c>
      <x:c r="AD62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2" s="6" t="str">
        <x:v>拟保存（尚未生成）：OpenSees 版本、可运行模型/脚本、节点构件和荷载表、实际计算日志、原始结果与工况索引、平衡/独立解校核记录。</x:v>
      </x:c>
      <x:c r="AF62" s="6" t="str">
        <x:v>OPS；COMMON</x:v>
      </x:c>
    </x:row>
    <x:row r="63" ht="54" customHeight="1">
      <x:c r="A63" s="14" t="str">
        <x:v>STD-062</x:v>
      </x:c>
      <x:c r="B63" s="11" t="str">
        <x:v>标准工作流</x:v>
      </x:c>
      <x:c r="C63" s="18" t="str">
        <x:v>M-STD-062</x:v>
      </x:c>
      <x:c r="D63" s="11" t="str">
        <x:v>上层退台框架</x:v>
      </x:c>
      <x:c r="E63" s="11" t="str">
        <x:v>平面钢框架</x:v>
      </x:c>
      <x:c r="F63" s="18" t="str">
        <x:v>2D</x:v>
      </x:c>
      <x:c r="G63" s="11" t="str">
        <x:v>退台与缺失楼层区域</x:v>
      </x:c>
      <x:c r="H63" s="18" t="str">
        <x:v>L3</x:v>
      </x:c>
      <x:c r="I63" s="11" t="str">
        <x:v>各层拓扑不同，不能用完整矩形网格补齐不存在的构件与荷载。</x:v>
      </x:c>
      <x:c r="J63" s="18" t="str">
        <x:v>英文</x:v>
      </x:c>
      <x:c r="K63" s="11" t="str">
        <x:v>完整文字任务 + 随题分析属性表（待编制）</x:v>
      </x:c>
      <x:c r="L63" s="22" t="n">
        <x:v>1</x:v>
      </x:c>
      <x:c r="M63" s="11" t="str">
        <x:v>下层两跨各6m，上层仅左跨保留，层高3.6、3.3m，各层梁10kN/m；完整属性按公共契约随题给出。 下层两跨各10kN/m，上层仅左跨10kN/m；右上层无梁无柱无荷载。</x:v>
      </x:c>
      <x:c r="N63" s="11" t="str">
        <x:v>缺失上层右跨不能按规则网格补全</x:v>
      </x:c>
      <x:c r="O63" s="11" t="str">
        <x:v>下层三柱顶和上层两柱顶位移、退台边节点端力、柱脚反力。</x:v>
      </x:c>
      <x:c r="P63" s="11" t="str">
        <x:v>缺失上层右跨不能按规则网格补全；指定位置/分量对照数值真值，输出文字与结构化结果保持符号、单位和工况一致。</x:v>
      </x:c>
      <x:c r="Q63" s="18" t="str">
        <x:v>新增</x:v>
      </x:c>
      <x:c r="R63" s="11" t="str">
        <x:v>无</x:v>
      </x:c>
      <x:c r="S63" s="11" t="str">
        <x:v>无</x:v>
      </x:c>
      <x:c r="T63" s="11" t="str">
        <x:v>新增工程场景；母模型、提示词和真值均待建立。</x:v>
      </x:c>
      <x:c r="U63" s="11" t="str">
        <x:v>拟建立独立审定的 OpenSees 模型及同版本/同设置参考结果；独立拓扑审计和刚度矩阵解；按实际构件计载，退台节点平衡复核。 参考值尚未生成。 所有题定输出均须覆盖，校核实现不复用被测转换链路。</x:v>
      </x:c>
      <x:c r="V63" s="11" t="str">
        <x:v>基础工具；完整题面、参数/单位契约与真值待验证</x:v>
      </x:c>
      <x:c r="W63" s="11" t="str">
        <x:v>规划，待编题与验证</x:v>
      </x:c>
      <x:c r="X63" s="11" t="str">
        <x:v>OpenSees</x:v>
      </x:c>
      <x:c r="Y63" s="18" t="str">
        <x:v>OpenSees</x:v>
      </x:c>
      <x:c r="Z63" s="11" t="str">
        <x:v>当前为二维钢框架题，采用 OpenSees，保留平面分析假设，不增造空间柱网。 本题重点：缺失上层右跨不能按规则网格补全。</x:v>
      </x:c>
      <x:c r="AA63" s="11" t="str">
        <x:v>拟要求真实 OpenSees 求解，保存输入与原始结果的对应关系；解析式/独立矩阵解用于校核，不能替代规定引擎执行证据。</x:v>
      </x:c>
      <x:c r="AB63" s="11" t="str">
        <x:v>待逐题验证</x:v>
      </x:c>
      <x:c r="AC63" s="11" t="str">
        <x:v>分层缺失构件保持缺失，不能按规则网格补齐；真实节点集合须验收。 当前无据认定接口不支持；需实际能力测试后确定，不将未验证能力记为模型失败。</x:v>
      </x:c>
      <x:c r="AD6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3" s="11" t="str">
        <x:v>拟保存（尚未生成）：OpenSees 版本、可运行模型/脚本、节点构件和荷载表、实际计算日志、原始结果与工况索引、平衡/独立解校核记录。</x:v>
      </x:c>
      <x:c r="AF63" s="11" t="str">
        <x:v>OPS；COMMON</x:v>
      </x:c>
    </x:row>
    <x:row r="64" ht="67.5" customHeight="1">
      <x:c r="A64" s="15" t="str">
        <x:v>STD-063</x:v>
      </x:c>
      <x:c r="B64" s="6" t="str">
        <x:v>标准工作流</x:v>
      </x:c>
      <x:c r="C64" s="19" t="str">
        <x:v>M-STD-063</x:v>
      </x:c>
      <x:c r="D64" s="6" t="str">
        <x:v>框架加一层交叉支撑</x:v>
      </x:c>
      <x:c r="E64" s="6" t="str">
        <x:v>平面钢框架</x:v>
      </x:c>
      <x:c r="F64" s="19" t="str">
        <x:v>2D</x:v>
      </x:c>
      <x:c r="G64" s="6" t="str">
        <x:v>刚架与轴力支撑混合</x:v>
      </x:c>
      <x:c r="H64" s="19" t="str">
        <x:v>L3</x:v>
      </x:c>
      <x:c r="I64" s="6" t="str">
        <x:v>梁柱弯曲与支撑纯轴力两类单元共存，节点自由度和交叉语义需一致。</x:v>
      </x:c>
      <x:c r="J64" s="19" t="str">
        <x:v>中文</x:v>
      </x:c>
      <x:c r="K64" s="6" t="str">
        <x:v>完整文字任务 + 随题分析属性表（待编制）</x:v>
      </x:c>
      <x:c r="L64" s="23" t="n">
        <x:v>1</x:v>
      </x:c>
      <x:c r="M64" s="6" t="str">
        <x:v>两层单跨6m，各3.6m，第一层设两根轴力支撑，其余刚接梁柱；完整属性按公共契约随题给出。 一层两斜撑交叉不相连且两端铰接；各梁10kN/m，顶层右节点X向30kN。</x:v>
      </x:c>
      <x:c r="N64" s="6" t="str">
        <x:v>梁柱与桁架杆混合类型及交叉语义</x:v>
      </x:c>
      <x:c r="O64" s="6" t="str">
        <x:v>两层柱顶侧移、两支撑轴力、梁柱端力及柱脚反力。</x:v>
      </x:c>
      <x:c r="P64" s="6" t="str">
        <x:v>梁柱与桁架杆混合类型及交叉语义；指定位置/分量对照数值真值，输出文字与结构化结果保持符号、单位和工况一致。</x:v>
      </x:c>
      <x:c r="Q64" s="19" t="str">
        <x:v>新增</x:v>
      </x:c>
      <x:c r="R64" s="6" t="str">
        <x:v>无</x:v>
      </x:c>
      <x:c r="S64" s="6" t="str">
        <x:v>无</x:v>
      </x:c>
      <x:c r="T64" s="6" t="str">
        <x:v>新增工程场景；母模型、提示词和真值均待建立。</x:v>
      </x:c>
      <x:c r="U64" s="6" t="str">
        <x:v>拟建立独立审定的 OpenSees 模型及同版本/同设置参考结果；独立混合杆/梁刚度组装；先验刚度秩，逐节点平衡与无弯曲支撑响应核查。 参考值尚未生成。 所有题定输出均须覆盖，校核实现不复用被测转换链路。</x:v>
      </x:c>
      <x:c r="V64" s="6" t="str">
        <x:v>混合单元工具链需验证；完整题面、参数/单位契约与真值待验证</x:v>
      </x:c>
      <x:c r="W64" s="6" t="str">
        <x:v>规划，待编题与验证</x:v>
      </x:c>
      <x:c r="X64" s="6" t="str">
        <x:v>OpenSees</x:v>
      </x:c>
      <x:c r="Y64" s="19" t="str">
        <x:v>OpenSees</x:v>
      </x:c>
      <x:c r="Z64" s="6" t="str">
        <x:v>当前为二维钢框架题，采用 OpenSees，保留平面分析假设，不增造空间柱网。 本题重点：梁柱与桁架杆混合类型及交叉语义。</x:v>
      </x:c>
      <x:c r="AA64" s="6" t="str">
        <x:v>拟要求真实 OpenSees 求解，保存输入与原始结果的对应关系；解析式/独立矩阵解用于校核，不能替代规定引擎执行证据。</x:v>
      </x:c>
      <x:c r="AB64" s="6" t="str">
        <x:v>待逐题验证</x:v>
      </x:c>
      <x:c r="AC64" s="6" t="str">
        <x:v>梁柱与轴力支撑混合单元、斜撑交叉不连接及秩检查须验证。 当前无据认定接口不支持；需实际能力测试后确定，不将未验证能力记为模型失败。</x:v>
      </x:c>
      <x:c r="AD6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梁柱与仅轴力斜撑分别建模，交叉及端铰按题。</x:v>
      </x:c>
      <x:c r="AE64" s="6" t="str">
        <x:v>拟保存（尚未生成）：OpenSees 版本、可运行模型/脚本、节点构件和荷载表、实际计算日志、原始结果与工况索引、平衡/独立解校核记录。</x:v>
      </x:c>
      <x:c r="AF64" s="6" t="str">
        <x:v>OPS；COMMON</x:v>
      </x:c>
    </x:row>
    <x:row r="65" ht="54" customHeight="1">
      <x:c r="A65" s="14" t="str">
        <x:v>STD-064</x:v>
      </x:c>
      <x:c r="B65" s="11" t="str">
        <x:v>标准工作流</x:v>
      </x:c>
      <x:c r="C65" s="18" t="str">
        <x:v>M-STD-064</x:v>
      </x:c>
      <x:c r="D65" s="11" t="str">
        <x:v>框架楼层外挑梁</x:v>
      </x:c>
      <x:c r="E65" s="11" t="str">
        <x:v>平面钢框架</x:v>
      </x:c>
      <x:c r="F65" s="18" t="str">
        <x:v>2D</x:v>
      </x:c>
      <x:c r="G65" s="11" t="str">
        <x:v>多层悬挑与分区载荷</x:v>
      </x:c>
      <x:c r="H65" s="18" t="str">
        <x:v>L3</x:v>
      </x:c>
      <x:c r="I65" s="11" t="str">
        <x:v>主跨和悬挑的荷载区域不同，分层悬挑不能误连到相邻层。</x:v>
      </x:c>
      <x:c r="J65" s="18" t="str">
        <x:v>英文</x:v>
      </x:c>
      <x:c r="K65" s="11" t="str">
        <x:v>完整文字任务 + 随题分析属性表（待编制）</x:v>
      </x:c>
      <x:c r="L65" s="22" t="n">
        <x:v>1</x:v>
      </x:c>
      <x:c r="M65" s="11" t="str">
        <x:v>两层各3.6m、单跨6m，两层右侧各外挑1.5m，外挑与主梁不同载荷；完整属性按公共契约随题给出。 主跨各10kN/m，两个外挑段各5kN/m；外挑根部与楼层梁柱节点刚接。</x:v>
      </x:c>
      <x:c r="N65" s="11" t="str">
        <x:v>悬挑连接与楼层加载区域</x:v>
      </x:c>
      <x:c r="O65" s="11" t="str">
        <x:v>两层悬挑端竖向位移、根部弯矩、左右柱顶位移及柱脚反力。</x:v>
      </x:c>
      <x:c r="P65" s="11" t="str">
        <x:v>悬挑连接与楼层加载区域；指定位置/分量对照数值真值，输出文字与结构化结果保持符号、单位和工况一致。</x:v>
      </x:c>
      <x:c r="Q65" s="18" t="str">
        <x:v>新增</x:v>
      </x:c>
      <x:c r="R65" s="11" t="str">
        <x:v>无</x:v>
      </x:c>
      <x:c r="S65" s="11" t="str">
        <x:v>无</x:v>
      </x:c>
      <x:c r="T65" s="11" t="str">
        <x:v>新增工程场景；母模型、提示词和真值均待建立。</x:v>
      </x:c>
      <x:c r="U65" s="11" t="str">
        <x:v>拟建立独立审定的 OpenSees 模型及同版本/同设置参考结果；独立框架刚度法；悬挑段局部静力平衡与整体系平衡，观测点加密复核。 参考值尚未生成。 所有题定输出均须覆盖，校核实现不复用被测转换链路。</x:v>
      </x:c>
      <x:c r="V65" s="11" t="str">
        <x:v>基础工具；完整题面、参数/单位契约与真值待验证</x:v>
      </x:c>
      <x:c r="W65" s="11" t="str">
        <x:v>规划，待编题与验证</x:v>
      </x:c>
      <x:c r="X65" s="11" t="str">
        <x:v>OpenSees</x:v>
      </x:c>
      <x:c r="Y65" s="18" t="str">
        <x:v>OpenSees</x:v>
      </x:c>
      <x:c r="Z65" s="11" t="str">
        <x:v>当前为二维钢框架题，采用 OpenSees，保留平面分析假设，不增造空间柱网。 本题重点：悬挑连接与楼层加载区域。</x:v>
      </x:c>
      <x:c r="AA65" s="11" t="str">
        <x:v>拟要求真实 OpenSees 求解，保存输入与原始结果的对应关系；解析式/独立矩阵解用于校核，不能替代规定引擎执行证据。</x:v>
      </x:c>
      <x:c r="AB65" s="11" t="str">
        <x:v>待逐题验证</x:v>
      </x:c>
      <x:c r="AC65" s="11" t="str">
        <x:v>各层真实外挑几何与主跨/外挑不同线载映射须验收。 当前无据认定接口不支持；需实际能力测试后确定，不将未验证能力记为模型失败。</x:v>
      </x:c>
      <x:c r="AD6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5" s="11" t="str">
        <x:v>拟保存（尚未生成）：OpenSees 版本、可运行模型/脚本、节点构件和荷载表、实际计算日志、原始结果与工况索引、平衡/独立解校核记录。</x:v>
      </x:c>
      <x:c r="AF65" s="11" t="str">
        <x:v>OPS；COMMON</x:v>
      </x:c>
    </x:row>
    <x:row r="66" ht="54" customHeight="1">
      <x:c r="A66" s="15" t="str">
        <x:v>STD-065</x:v>
      </x:c>
      <x:c r="B66" s="6" t="str">
        <x:v>标准工作流</x:v>
      </x:c>
      <x:c r="C66" s="19" t="str">
        <x:v>M-STD-065</x:v>
      </x:c>
      <x:c r="D66" s="6" t="str">
        <x:v>楼层荷载不等的三层框架</x:v>
      </x:c>
      <x:c r="E66" s="6" t="str">
        <x:v>平面钢框架</x:v>
      </x:c>
      <x:c r="F66" s="19" t="str">
        <x:v>2D</x:v>
      </x:c>
      <x:c r="G66" s="6" t="str">
        <x:v>逐层重力荷载映射</x:v>
      </x:c>
      <x:c r="H66" s="19" t="str">
        <x:v>L2</x:v>
      </x:c>
      <x:c r="I66" s="6" t="str">
        <x:v>楼层索引决定荷载大小，不能从一层复制到全楼。</x:v>
      </x:c>
      <x:c r="J66" s="19" t="str">
        <x:v>中文</x:v>
      </x:c>
      <x:c r="K66" s="6" t="str">
        <x:v>完整文字任务 + 随题分析属性表（待编制）</x:v>
      </x:c>
      <x:c r="L66" s="23" t="n">
        <x:v>1</x:v>
      </x:c>
      <x:c r="M66" s="6" t="str">
        <x:v>三层各3.3m，两跨5m，逐层线载12、10、6kN/m；完整属性按公共契约随题给出。 从底到顶梁载12/10/6kN/m，各层两跨一致，柱脚固定。</x:v>
      </x:c>
      <x:c r="N66" s="6" t="str">
        <x:v>不得把第一层荷载复制全楼</x:v>
      </x:c>
      <x:c r="O66" s="6" t="str">
        <x:v>各层梁跨中竖向位移、各层柱顶位移及三柱脚反力。</x:v>
      </x:c>
      <x:c r="P66" s="6" t="str">
        <x:v>不得把第一层荷载复制全楼；指定位置/分量对照数值真值，输出文字与结构化结果保持符号、单位和工况一致。</x:v>
      </x:c>
      <x:c r="Q66" s="19" t="str">
        <x:v>新增</x:v>
      </x:c>
      <x:c r="R66" s="6" t="str">
        <x:v>无</x:v>
      </x:c>
      <x:c r="S66" s="6" t="str">
        <x:v>无</x:v>
      </x:c>
      <x:c r="T66" s="6" t="str">
        <x:v>新增工程场景；母模型、提示词和真值均待建立。</x:v>
      </x:c>
      <x:c r="U66" s="6" t="str">
        <x:v>拟建立独立审定的 OpenSees 模型及同版本/同设置参考结果；独立框架解；分层总力与整体平衡复核，按楼层标签核对位移表。 参考值尚未生成。 所有题定输出均须覆盖，校核实现不复用被测转换链路。</x:v>
      </x:c>
      <x:c r="V66" s="6" t="str">
        <x:v>基础工具；完整题面、参数/单位契约与真值待验证</x:v>
      </x:c>
      <x:c r="W66" s="6" t="str">
        <x:v>规划，待编题与验证</x:v>
      </x:c>
      <x:c r="X66" s="6" t="str">
        <x:v>OpenSees</x:v>
      </x:c>
      <x:c r="Y66" s="19" t="str">
        <x:v>OpenSees</x:v>
      </x:c>
      <x:c r="Z66" s="6" t="str">
        <x:v>当前为二维钢框架题，采用 OpenSees，保留平面分析假设，不增造空间柱网。 本题重点：不得把第一层荷载复制全楼。</x:v>
      </x:c>
      <x:c r="AA66" s="6" t="str">
        <x:v>拟要求真实 OpenSees 求解，保存输入与原始结果的对应关系；解析式/独立矩阵解用于校核，不能替代规定引擎执行证据。</x:v>
      </x:c>
      <x:c r="AB66" s="6" t="str">
        <x:v>待逐题验证</x:v>
      </x:c>
      <x:c r="AC66" s="6" t="str">
        <x:v>逐层载荷和各跨观测点的索引须验收。 当前无据认定接口不支持；需实际能力测试后确定，不将未验证能力记为模型失败。</x:v>
      </x:c>
      <x:c r="AD6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6" s="6" t="str">
        <x:v>拟保存（尚未生成）：OpenSees 版本、可运行模型/脚本、节点构件和荷载表、实际计算日志、原始结果与工况索引、平衡/独立解校核记录。</x:v>
      </x:c>
      <x:c r="AF66" s="6" t="str">
        <x:v>OPS；COMMON</x:v>
      </x:c>
    </x:row>
    <x:row r="67" ht="54" customHeight="1">
      <x:c r="A67" s="14" t="str">
        <x:v>STD-066</x:v>
      </x:c>
      <x:c r="B67" s="11" t="str">
        <x:v>标准工作流</x:v>
      </x:c>
      <x:c r="C67" s="18" t="str">
        <x:v>M-STD-066</x:v>
      </x:c>
      <x:c r="D67" s="11" t="str">
        <x:v>梁柱截面表交叉映射</x:v>
      </x:c>
      <x:c r="E67" s="11" t="str">
        <x:v>平面钢框架</x:v>
      </x:c>
      <x:c r="F67" s="18" t="str">
        <x:v>2D</x:v>
      </x:c>
      <x:c r="G67" s="11" t="str">
        <x:v>成员表交叉分组</x:v>
      </x:c>
      <x:c r="H67" s="18" t="str">
        <x:v>L3</x:v>
      </x:c>
      <x:c r="I67" s="11" t="str">
        <x:v>楼层、柱位和梁跨三种索引交叉，属性分组与非对称响应均需精确。</x:v>
      </x:c>
      <x:c r="J67" s="18" t="str">
        <x:v>英文</x:v>
      </x:c>
      <x:c r="K67" s="11" t="str">
        <x:v>完整文字任务 + 随题分析属性表（待编制）</x:v>
      </x:c>
      <x:c r="L67" s="22" t="n">
        <x:v>1</x:v>
      </x:c>
      <x:c r="M67" s="11" t="str">
        <x:v>两层两跨6m，边柱中柱两类截面，左梁右梁两类截面，侧载与竖载；完整属性按公共契约随题给出。 层高各3.6m，边柱C1中柱C2，左梁B1右梁B2；所有梁8kN/m，顶层右节点X向25kN。</x:v>
      </x:c>
      <x:c r="N67" s="11" t="str">
        <x:v>成员组和属性表对应关系</x:v>
      </x:c>
      <x:c r="O67" s="11" t="str">
        <x:v>每组代表构件端力、各柱线层间位移差及柱脚反力，附成员/截面对照。</x:v>
      </x:c>
      <x:c r="P67" s="11" t="str">
        <x:v>成员组和属性表对应关系；指定位置/分量对照数值真值，输出文字与结构化结果保持符号、单位和工况一致。</x:v>
      </x:c>
      <x:c r="Q67" s="18" t="str">
        <x:v>新增</x:v>
      </x:c>
      <x:c r="R67" s="11" t="str">
        <x:v>无</x:v>
      </x:c>
      <x:c r="S67" s="11" t="str">
        <x:v>无</x:v>
      </x:c>
      <x:c r="T67" s="11" t="str">
        <x:v>新增工程场景；母模型、提示词和真值均待建立。</x:v>
      </x:c>
      <x:c r="U67" s="11" t="str">
        <x:v>拟建立独立审定的 OpenSees 模型及同版本/同设置参考结果；独立逐成员EA/EI组装；分组审计、节点平衡与整体平衡复核。 参考值尚未生成。 所有题定输出均须覆盖，校核实现不复用被测转换链路。</x:v>
      </x:c>
      <x:c r="V67" s="11" t="str">
        <x:v>基础工具；完整题面、参数/单位契约与真值待验证</x:v>
      </x:c>
      <x:c r="W67" s="11" t="str">
        <x:v>规划，待编题与验证</x:v>
      </x:c>
      <x:c r="X67" s="11" t="str">
        <x:v>OpenSees</x:v>
      </x:c>
      <x:c r="Y67" s="18" t="str">
        <x:v>OpenSees</x:v>
      </x:c>
      <x:c r="Z67" s="11" t="str">
        <x:v>当前为二维钢框架题，采用 OpenSees，保留平面分析假设，不增造空间柱网。 本题重点：成员组和属性表对应关系。</x:v>
      </x:c>
      <x:c r="AA67" s="11" t="str">
        <x:v>拟要求真实 OpenSees 求解，保存输入与原始结果的对应关系；解析式/独立矩阵解用于校核，不能替代规定引擎执行证据。</x:v>
      </x:c>
      <x:c r="AB67" s="11" t="str">
        <x:v>待逐题验证</x:v>
      </x:c>
      <x:c r="AC67" s="11" t="str">
        <x:v>边柱/中柱与左梁/右梁多组属性交叉映射须验收。 当前无据认定接口不支持；需实际能力测试后确定，不将未验证能力记为模型失败。</x:v>
      </x:c>
      <x:c r="AD6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7" s="11" t="str">
        <x:v>拟保存（尚未生成）：OpenSees 版本、可运行模型/脚本、节点构件和荷载表、实际计算日志、原始结果与工况索引、平衡/独立解校核记录。</x:v>
      </x:c>
      <x:c r="AF67" s="11" t="str">
        <x:v>OPS；COMMON</x:v>
      </x:c>
    </x:row>
    <x:row r="68" ht="54" customHeight="1">
      <x:c r="A68" s="15" t="str">
        <x:v>STD-067</x:v>
      </x:c>
      <x:c r="B68" s="6" t="str">
        <x:v>标准工作流</x:v>
      </x:c>
      <x:c r="C68" s="19" t="str">
        <x:v>M-STD-067</x:v>
      </x:c>
      <x:c r="D68" s="6" t="str">
        <x:v>上层跨越局部空缺柱线</x:v>
      </x:c>
      <x:c r="E68" s="6" t="str">
        <x:v>平面钢框架</x:v>
      </x:c>
      <x:c r="F68" s="19" t="str">
        <x:v>2D</x:v>
      </x:c>
      <x:c r="G68" s="6" t="str">
        <x:v>上层缺失中柱线</x:v>
      </x:c>
      <x:c r="H68" s="19" t="str">
        <x:v>L3</x:v>
      </x:c>
      <x:c r="I68" s="6" t="str">
        <x:v>有梁节点不代表有柱支承，需同时处理缺失构件和连续上层梁。</x:v>
      </x:c>
      <x:c r="J68" s="19" t="str">
        <x:v>中文</x:v>
      </x:c>
      <x:c r="K68" s="6" t="str">
        <x:v>完整文字任务 + 随题分析属性表（待编制）</x:v>
      </x:c>
      <x:c r="L68" s="23" t="n">
        <x:v>1</x:v>
      </x:c>
      <x:c r="M68" s="6" t="str">
        <x:v>两层两跨5m，下层中柱保留，上层中柱取消且上层梁按连续梁明确建模；完整属性按公共契约随题给出。 层高均3.6m，上层中柱缺失；上层梁x=5m仍为无支承连续节点，所有梁10kN/m。</x:v>
      </x:c>
      <x:c r="N68" s="6" t="str">
        <x:v>按实际连接表处理非规则柱线</x:v>
      </x:c>
      <x:c r="O68" s="6" t="str">
        <x:v>顶层梁中点竖向位移、两侧柱顶侧移、下层中柱顶响应及柱脚反力。</x:v>
      </x:c>
      <x:c r="P68" s="6" t="str">
        <x:v>按实际连接表处理非规则柱线；指定位置/分量对照数值真值，输出文字与结构化结果保持符号、单位和工况一致。</x:v>
      </x:c>
      <x:c r="Q68" s="19" t="str">
        <x:v>新增</x:v>
      </x:c>
      <x:c r="R68" s="6" t="str">
        <x:v>无</x:v>
      </x:c>
      <x:c r="S68" s="6" t="str">
        <x:v>无</x:v>
      </x:c>
      <x:c r="T68" s="6" t="str">
        <x:v>新增工程场景；母模型、提示词和真值均待建立。</x:v>
      </x:c>
      <x:c r="U68" s="6" t="str">
        <x:v>拟建立独立审定的 OpenSees 模型及同版本/同设置参考结果；连接图与刚度秩先验检查；独立框架矩阵解，缺柱节点平衡复核。 参考值尚未生成。 所有题定输出均须覆盖，校核实现不复用被测转换链路。</x:v>
      </x:c>
      <x:c r="V68" s="6" t="str">
        <x:v>机构与连通性需独立验证；完整题面、参数/单位契约与真值待验证</x:v>
      </x:c>
      <x:c r="W68" s="6" t="str">
        <x:v>规划，待编题与验证</x:v>
      </x:c>
      <x:c r="X68" s="6" t="str">
        <x:v>OpenSees</x:v>
      </x:c>
      <x:c r="Y68" s="19" t="str">
        <x:v>OpenSees</x:v>
      </x:c>
      <x:c r="Z68" s="6" t="str">
        <x:v>当前为二维钢框架题，采用 OpenSees，保留平面分析假设，不增造空间柱网。 本题重点：按实际连接表处理非规则柱线。</x:v>
      </x:c>
      <x:c r="AA68" s="6" t="str">
        <x:v>拟要求真实 OpenSees 求解，保存输入与原始结果的对应关系；解析式/独立矩阵解用于校核，不能替代规定引擎执行证据。</x:v>
      </x:c>
      <x:c r="AB68" s="6" t="str">
        <x:v>待逐题验证</x:v>
      </x:c>
      <x:c r="AC68" s="6" t="str">
        <x:v>缺柱后的连续梁中点不得新增支座；连通性与刚度秩需先验验证。 当前无据认定接口不支持；需实际能力测试后确定，不将未验证能力记为模型失败。</x:v>
      </x:c>
      <x:c r="AD6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8" s="6" t="str">
        <x:v>拟保存（尚未生成）：OpenSees 版本、可运行模型/脚本、节点构件和荷载表、实际计算日志、原始结果与工况索引、平衡/独立解校核记录。</x:v>
      </x:c>
      <x:c r="AF68" s="6" t="str">
        <x:v>OPS；COMMON</x:v>
      </x:c>
    </x:row>
    <x:row r="69" ht="54" customHeight="1">
      <x:c r="A69" s="14" t="str">
        <x:v>STD-068</x:v>
      </x:c>
      <x:c r="B69" s="11" t="str">
        <x:v>标准工作流</x:v>
      </x:c>
      <x:c r="C69" s="18" t="str">
        <x:v>M-STD-068</x:v>
      </x:c>
      <x:c r="D69" s="11" t="str">
        <x:v>负基底标高与地面连系梁框架</x:v>
      </x:c>
      <x:c r="E69" s="11" t="str">
        <x:v>平面钢框架</x:v>
      </x:c>
      <x:c r="F69" s="18" t="str">
        <x:v>2D</x:v>
      </x:c>
      <x:c r="G69" s="11" t="str">
        <x:v>负坐标与多标高连接</x:v>
      </x:c>
      <x:c r="H69" s="18" t="str">
        <x:v>L2</x:v>
      </x:c>
      <x:c r="I69" s="11" t="str">
        <x:v>负标高、地面无载连系梁和两上部受载楼层并存，要按真实标高和成员关系生成模型。</x:v>
      </x:c>
      <x:c r="J69" s="18" t="str">
        <x:v>英文</x:v>
      </x:c>
      <x:c r="K69" s="11" t="str">
        <x:v>完整文字任务 + 随题分析属性表（待编制）</x:v>
      </x:c>
      <x:c r="L69" s="22" t="n">
        <x:v>1</x:v>
      </x:c>
      <x:c r="M69" s="11" t="str">
        <x:v>单跨6m钢框架，柱底z=-1.5m固定，两个上部楼层z=2.1m和5.7m；另在z=0设全跨刚接地面连系梁，连系梁无外载。仅两个上部楼层梁各向下10kN/m，所有节点/截面按表。</x:v>
      </x:c>
      <x:c r="N69" s="11" t="str">
        <x:v>负绝对标高合法，地面连系梁接入柱线且无新增地基约束，加载只在上部两层</x:v>
      </x:c>
      <x:c r="O69" s="11" t="str">
        <x:v>地面与两个上部楼层梁柱节点位移、各实际柱段位移差、连系梁端力及柱脚反力。</x:v>
      </x:c>
      <x:c r="P69" s="11" t="str">
        <x:v>负绝对标高合法，地面连系梁接入柱线且无新增地基约束，加载只在上部两层；指定位置/分量对照数值真值，输出文字与结构化结果保持符号、单位和工况一致。</x:v>
      </x:c>
      <x:c r="Q69" s="18" t="str">
        <x:v>新增</x:v>
      </x:c>
      <x:c r="R69" s="11" t="str">
        <x:v>无</x:v>
      </x:c>
      <x:c r="S69" s="11" t="str">
        <x:v>无</x:v>
      </x:c>
      <x:c r="T69" s="11" t="str">
        <x:v>新增工程场景；母模型、提示词和真值均待建立。</x:v>
      </x:c>
      <x:c r="U69" s="11" t="str">
        <x:v>拟建立独立审定的 OpenSees 模型及同版本/同设置参考结果；独立二维框架解；地面节点平衡与总载核验，再整体平移作坐标不变性辅助校验，新真值待建立。 所有题定输出均须覆盖，校核实现不复用被测转换链路。</x:v>
      </x:c>
      <x:c r="V69" s="11" t="str">
        <x:v>基础工具；完整题面、参数/单位契约与真值待验证</x:v>
      </x:c>
      <x:c r="W69" s="11" t="str">
        <x:v>规划，待编题与验证</x:v>
      </x:c>
      <x:c r="X69" s="11" t="str">
        <x:v>OpenSees</x:v>
      </x:c>
      <x:c r="Y69" s="18" t="str">
        <x:v>OpenSees</x:v>
      </x:c>
      <x:c r="Z69" s="11" t="str">
        <x:v>当前为二维钢框架题，采用 OpenSees，保留平面分析假设，不增造空间柱网。 本题重点：负绝对标高合法，地面连系梁接入柱线且无新增地基约束，加载只在上部两层。</x:v>
      </x:c>
      <x:c r="AA69" s="11" t="str">
        <x:v>拟要求真实 OpenSees 求解，保存输入与原始结果的对应关系；解析式/独立矩阵解用于校核，不能替代规定引擎执行证据。</x:v>
      </x:c>
      <x:c r="AB69" s="11" t="str">
        <x:v>待逐题验证</x:v>
      </x:c>
      <x:c r="AC69" s="11" t="str">
        <x:v>负坐标合法，地面连系梁不产生额外地基约束；分层标高须验收。 当前无据认定接口不支持；需实际能力测试后确定，不将未验证能力记为模型失败。</x:v>
      </x:c>
      <x:c r="AD6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69" s="11" t="str">
        <x:v>拟保存（尚未生成）：OpenSees 版本、可运行模型/脚本、节点构件和荷载表、实际计算日志、原始结果与工况索引、平衡/独立解校核记录。</x:v>
      </x:c>
      <x:c r="AF69" s="11" t="str">
        <x:v>OPS；COMMON</x:v>
      </x:c>
    </x:row>
    <x:row r="70" ht="67.5" customHeight="1">
      <x:c r="A70" s="15" t="str">
        <x:v>STD-069</x:v>
      </x:c>
      <x:c r="B70" s="6" t="str">
        <x:v>标准工作流</x:v>
      </x:c>
      <x:c r="C70" s="19" t="str">
        <x:v>M-STD-069</x:v>
      </x:c>
      <x:c r="D70" s="6" t="str">
        <x:v>两层混凝土框架铰固混合柱脚</x:v>
      </x:c>
      <x:c r="E70" s="6" t="str">
        <x:v>平面混凝土框架</x:v>
      </x:c>
      <x:c r="F70" s="19" t="str">
        <x:v>2D</x:v>
      </x:c>
      <x:c r="G70" s="6" t="str">
        <x:v>混凝土角色属性与混合柱脚</x:v>
      </x:c>
      <x:c r="H70" s="19" t="str">
        <x:v>L2</x:v>
      </x:c>
      <x:c r="I70" s="6" t="str">
        <x:v>左右边界不同打破相同柱脚假设，须同时维护混凝土梁柱属性映射。</x:v>
      </x:c>
      <x:c r="J70" s="19" t="str">
        <x:v>中文</x:v>
      </x:c>
      <x:c r="K70" s="6" t="str">
        <x:v>完整文字任务 + 随题分析属性表（待编制）</x:v>
      </x:c>
      <x:c r="L70" s="23" t="n">
        <x:v>1</x:v>
      </x:c>
      <x:c r="M70" s="6" t="str">
        <x:v>两层各3.6m、单跨6m的C30框架；左柱脚铰支、右柱脚固定，柱500×500mm、梁300×600mm；各梁仅施加向下72kN/m线载。完整弹性属性和单位按公共契约给出。</x:v>
      </x:c>
      <x:c r="N70" s="6" t="str">
        <x:v>左右柱脚约束不同，梁柱截面角色和线载一次施加正确</x:v>
      </x:c>
      <x:c r="O70" s="6" t="str">
        <x:v>两层左右节点X/Z位移、左柱脚转角、逐列层间位移差及两柱脚反力/弯矩。</x:v>
      </x:c>
      <x:c r="P70" s="6" t="str">
        <x:v>左右柱脚约束不同，梁柱截面角色和线载一次施加正确；指定位置/分量对照数值真值，输出文字与结构化结果保持符号、单位和工况一致。</x:v>
      </x:c>
      <x:c r="Q70" s="19" t="str">
        <x:v>旧题改编</x:v>
      </x:c>
      <x:c r="R70" s="6" t="str">
        <x:v>concrete-frame-2story-static</x:v>
      </x:c>
      <x:c r="S70" s="6" t="str">
        <x:v>无</x:v>
      </x:c>
      <x:c r="T70" s="6" t="str">
        <x:v>保留旧题主要几何与荷载，显式补齐单位、自重、观测位置和结果评分；新契约下须重新核验真值。 将旧题左柱脚改为铰支，右脚保持固支，使其与钢框架基础锚点在边界条件上也不同。</x:v>
      </x:c>
      <x:c r="U70" s="6" t="str">
        <x:v>拟建立独立审定的 OpenSees 模型及同版本/同设置参考结果；独立二维框架矩阵解；左铰端弯矩为零、整体平衡与逐列层间差核验；更改边界后重建真值。 所有题定输出均须覆盖，校核实现不复用被测转换链路。</x:v>
      </x:c>
      <x:c r="V70" s="6" t="str">
        <x:v>基础工具；完整题面、参数/单位契约与真值待验证</x:v>
      </x:c>
      <x:c r="W70" s="6" t="str">
        <x:v>规划，待编题与验证</x:v>
      </x:c>
      <x:c r="X70" s="6" t="str">
        <x:v>OpenSees</x:v>
      </x:c>
      <x:c r="Y70" s="19" t="str">
        <x:v>OpenSees</x:v>
      </x:c>
      <x:c r="Z70" s="6" t="str">
        <x:v>当前为二维混凝土弹性框架题，采用 OpenSees，不另加楼板或空间建筑假设。 本题重点：左右柱脚约束不同，梁柱截面角色和线载一次施加正确。</x:v>
      </x:c>
      <x:c r="AA70" s="6" t="str">
        <x:v>拟要求真实 OpenSees 求解，保存输入与原始结果的对应关系；解析式/独立矩阵解用于校核，不能替代规定引擎执行证据。</x:v>
      </x:c>
      <x:c r="AB70" s="6" t="str">
        <x:v>待逐题验证</x:v>
      </x:c>
      <x:c r="AC70" s="6" t="str">
        <x:v>混合铰/固柱脚及铰端自由转角输出须验收。 当前无据认定接口不支持；需实际能力测试后确定，不将未验证能力记为模型失败。</x:v>
      </x:c>
      <x:c r="AD7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0" s="6" t="str">
        <x:v>拟保存（尚未生成）：OpenSees 版本、可运行模型/脚本、节点构件和荷载表、实际计算日志、原始结果与工况索引、平衡/独立解校核记录。</x:v>
      </x:c>
      <x:c r="AF70" s="6" t="str">
        <x:v>OPS；COMMON</x:v>
      </x:c>
    </x:row>
    <x:row r="71" ht="54" customHeight="1">
      <x:c r="A71" s="14" t="str">
        <x:v>STD-070</x:v>
      </x:c>
      <x:c r="B71" s="11" t="str">
        <x:v>标准工作流</x:v>
      </x:c>
      <x:c r="C71" s="18" t="str">
        <x:v>M-STD-070</x:v>
      </x:c>
      <x:c r="D71" s="11" t="str">
        <x:v>三层C35框架</x:v>
      </x:c>
      <x:c r="E71" s="11" t="str">
        <x:v>平面混凝土框架</x:v>
      </x:c>
      <x:c r="F71" s="18" t="str">
        <x:v>2D</x:v>
      </x:c>
      <x:c r="G71" s="11" t="str">
        <x:v>多层混凝土弹性框架</x:v>
      </x:c>
      <x:c r="H71" s="18" t="str">
        <x:v>L2</x:v>
      </x:c>
      <x:c r="I71" s="11" t="str">
        <x:v>楼层索引、材料和两类截面需共同保持；截面尺寸不能误当统一属性。</x:v>
      </x:c>
      <x:c r="J71" s="18" t="str">
        <x:v>英文</x:v>
      </x:c>
      <x:c r="K71" s="11" t="str">
        <x:v>完整文字任务 + 随题分析属性表（待编制）</x:v>
      </x:c>
      <x:c r="L71" s="22" t="n">
        <x:v>1</x:v>
      </x:c>
      <x:c r="M71" s="11" t="str">
        <x:v>三层各3.3m、单跨6m，柱500×500、梁300×600mm，梁线载60kN/m；完整属性按公共契约随题给出。 各梁60kN/m，柱500×500和梁300×600mm按不同截面组；不进行配筋或承载力推断。</x:v>
      </x:c>
      <x:c r="N71" s="11" t="str">
        <x:v>层数与面载折算只施加一次</x:v>
      </x:c>
      <x:c r="O71" s="11" t="str">
        <x:v>三层左右节点位移、逐柱列层间位移差及柱脚反力/弯矩。</x:v>
      </x:c>
      <x:c r="P71" s="11" t="str">
        <x:v>层数与面载折算只施加一次；指定位置/分量对照数值真值，输出文字与结构化结果保持符号、单位和工况一致。</x:v>
      </x:c>
      <x:c r="Q71" s="18" t="str">
        <x:v>旧题改编</x:v>
      </x:c>
      <x:c r="R71" s="11" t="str">
        <x:v>concrete-frame-3story-opensees-static-en</x:v>
      </x:c>
      <x:c r="S71" s="11" t="str">
        <x:v>无</x:v>
      </x:c>
      <x:c r="T71" s="11" t="str">
        <x:v>保留旧题主要几何与荷载，显式补齐单位、自重、观测位置和结果评分；新契约下须重新核验真值。</x:v>
      </x:c>
      <x:c r="U71" s="11" t="str">
        <x:v>拟建立独立审定的 OpenSees 模型及同版本/同设置参考结果；独立线弹性框架矩阵解；逐层位移与整体反力平衡核对。 参考值尚未生成。 所有题定输出均须覆盖，校核实现不复用被测转换链路。</x:v>
      </x:c>
      <x:c r="V71" s="11" t="str">
        <x:v>基础工具；完整题面、参数/单位契约与真值待验证</x:v>
      </x:c>
      <x:c r="W71" s="11" t="str">
        <x:v>规划，待编题与验证</x:v>
      </x:c>
      <x:c r="X71" s="11" t="str">
        <x:v>OpenSees</x:v>
      </x:c>
      <x:c r="Y71" s="18" t="str">
        <x:v>OpenSees</x:v>
      </x:c>
      <x:c r="Z71" s="11" t="str">
        <x:v>当前为二维混凝土弹性框架题，采用 OpenSees，不另加楼板或空间建筑假设。 本题重点：层数与面载折算只施加一次。</x:v>
      </x:c>
      <x:c r="AA71" s="11" t="str">
        <x:v>拟要求真实 OpenSees 求解，保存输入与原始结果的对应关系；解析式/独立矩阵解用于校核，不能替代规定引擎执行证据。</x:v>
      </x:c>
      <x:c r="AB71" s="11" t="str">
        <x:v>待逐题验证</x:v>
      </x:c>
      <x:c r="AC71" s="11" t="str">
        <x:v>逐题核验层数与面载折算只施加一次；输入、结果分量/位置及数值标答尚未完成验收。 当前无据认定接口不支持；需实际能力测试后确定，不将未验证能力记为模型失败。</x:v>
      </x:c>
      <x:c r="AD7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1" s="11" t="str">
        <x:v>拟保存（尚未生成）：OpenSees 版本、可运行模型/脚本、节点构件和荷载表、实际计算日志、原始结果与工况索引、平衡/独立解校核记录。</x:v>
      </x:c>
      <x:c r="AF71" s="11" t="str">
        <x:v>OPS；COMMON</x:v>
      </x:c>
    </x:row>
    <x:row r="72" ht="54" customHeight="1">
      <x:c r="A72" s="15" t="str">
        <x:v>STD-071</x:v>
      </x:c>
      <x:c r="B72" s="6" t="str">
        <x:v>标准工作流</x:v>
      </x:c>
      <x:c r="C72" s="19" t="str">
        <x:v>M-STD-071</x:v>
      </x:c>
      <x:c r="D72" s="6" t="str">
        <x:v>两层两跨材料修订基准</x:v>
      </x:c>
      <x:c r="E72" s="6" t="str">
        <x:v>平面混凝土框架</x:v>
      </x:c>
      <x:c r="F72" s="19" t="str">
        <x:v>2D</x:v>
      </x:c>
      <x:c r="G72" s="6" t="str">
        <x:v>交互母模型移植为完整任务</x:v>
      </x:c>
      <x:c r="H72" s="19" t="str">
        <x:v>L2</x:v>
      </x:c>
      <x:c r="I72" s="6" t="str">
        <x:v>双跨多柱线与材料实际E值需对应，但无信息缺失或跨轮状态。</x:v>
      </x:c>
      <x:c r="J72" s="19" t="str">
        <x:v>中文</x:v>
      </x:c>
      <x:c r="K72" s="6" t="str">
        <x:v>完整文字任务 + 随题分析属性表（待编制）</x:v>
      </x:c>
      <x:c r="L72" s="23" t="n">
        <x:v>1</x:v>
      </x:c>
      <x:c r="M72" s="6" t="str">
        <x:v>两层各3.6m、两跨6m，C30、柱500×500、梁300×600mm，各梁10kN/m；完整属性按公共契约随题给出。 取旧更新题第一轮C30完整模型，仅做一次分析；不执行后续C40更新。</x:v>
      </x:c>
      <x:c r="N72" s="6" t="str">
        <x:v>保留材料等级与实际E值关联</x:v>
      </x:c>
      <x:c r="O72" s="6" t="str">
        <x:v>各层三柱线位移、代表梁柱端力及三个柱脚反力。</x:v>
      </x:c>
      <x:c r="P72" s="6" t="str">
        <x:v>保留材料等级与实际E值关联；指定位置/分量对照数值真值，输出文字与结构化结果保持符号、单位和工况一致。</x:v>
      </x:c>
      <x:c r="Q72" s="19" t="str">
        <x:v>旧题改编</x:v>
      </x:c>
      <x:c r="R72" s="6" t="str">
        <x:v>robust-update-concrete-material</x:v>
      </x:c>
      <x:c r="S72" s="6" t="str">
        <x:v>无</x:v>
      </x:c>
      <x:c r="T72" s="6" t="str">
        <x:v>将旧题的工程模型移植为完整文字建模任务；去除图片识别或更新流程，新增模型/数值/展示评分。</x:v>
      </x:c>
      <x:c r="U72" s="6" t="str">
        <x:v>拟建立独立审定的 OpenSees 模型及同版本/同设置参考结果；以旧C30模型作种子，独立框架刚度法和载荷平衡；不引用C40阶段真值。 参考值尚未生成。 所有题定输出均须覆盖，校核实现不复用被测转换链路。</x:v>
      </x:c>
      <x:c r="V72" s="6" t="str">
        <x:v>基础工具；完整题面、参数/单位契约与真值待验证</x:v>
      </x:c>
      <x:c r="W72" s="6" t="str">
        <x:v>规划，待编题与验证</x:v>
      </x:c>
      <x:c r="X72" s="6" t="str">
        <x:v>OpenSees</x:v>
      </x:c>
      <x:c r="Y72" s="19" t="str">
        <x:v>OpenSees</x:v>
      </x:c>
      <x:c r="Z72" s="6" t="str">
        <x:v>当前为二维混凝土弹性框架题，采用 OpenSees，不另加楼板或空间建筑假设。 本题重点：保留材料等级与实际E值关联。</x:v>
      </x:c>
      <x:c r="AA72" s="6" t="str">
        <x:v>拟要求真实 OpenSees 求解，保存输入与原始结果的对应关系；解析式/独立矩阵解用于校核，不能替代规定引擎执行证据。</x:v>
      </x:c>
      <x:c r="AB72" s="6" t="str">
        <x:v>待逐题验证</x:v>
      </x:c>
      <x:c r="AC72" s="6" t="str">
        <x:v>只使用初始 C30 模型的弹性属性，不混入后续 C40 更新结果。 当前无据认定接口不支持；需实际能力测试后确定，不将未验证能力记为模型失败。</x:v>
      </x:c>
      <x:c r="AD72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2" s="6" t="str">
        <x:v>拟保存（尚未生成）：OpenSees 版本、可运行模型/脚本、节点构件和荷载表、实际计算日志、原始结果与工况索引、平衡/独立解校核记录。</x:v>
      </x:c>
      <x:c r="AF72" s="6" t="str">
        <x:v>OPS；COMMON</x:v>
      </x:c>
    </x:row>
    <x:row r="73" ht="54" customHeight="1">
      <x:c r="A73" s="14" t="str">
        <x:v>STD-072</x:v>
      </x:c>
      <x:c r="B73" s="11" t="str">
        <x:v>标准工作流</x:v>
      </x:c>
      <x:c r="C73" s="18" t="str">
        <x:v>M-STD-072</x:v>
      </x:c>
      <x:c r="D73" s="11" t="str">
        <x:v>不等层高混凝土框架</x:v>
      </x:c>
      <x:c r="E73" s="11" t="str">
        <x:v>平面混凝土框架</x:v>
      </x:c>
      <x:c r="F73" s="18" t="str">
        <x:v>2D</x:v>
      </x:c>
      <x:c r="G73" s="11" t="str">
        <x:v>混凝土非规则网格</x:v>
      </x:c>
      <x:c r="H73" s="18" t="str">
        <x:v>L2</x:v>
      </x:c>
      <x:c r="I73" s="11" t="str">
        <x:v>非等层高和不等跨需正确累计，逐层荷载与节点归属一致。</x:v>
      </x:c>
      <x:c r="J73" s="18" t="str">
        <x:v>英文</x:v>
      </x:c>
      <x:c r="K73" s="11" t="str">
        <x:v>完整文字任务 + 随题分析属性表（待编制）</x:v>
      </x:c>
      <x:c r="L73" s="22" t="n">
        <x:v>1</x:v>
      </x:c>
      <x:c r="M73" s="11" t="str">
        <x:v>三层3.3、4.0、3.1m，两跨5、7m，所有柱脚固定；完整属性按公共契约随题给出。 层高3.3/4.0/3.1m，对应标高3.3/7.3/10.4m；各梁依层取12/10/8kN/m。</x:v>
      </x:c>
      <x:c r="N73" s="11" t="str">
        <x:v>楼层标高和各跨连接</x:v>
      </x:c>
      <x:c r="O73" s="11" t="str">
        <x:v>各层各柱线位移、对应层间位移差、各柱脚反力与底柱端弯矩。</x:v>
      </x:c>
      <x:c r="P73" s="11" t="str">
        <x:v>楼层标高和各跨连接；指定位置/分量对照数值真值，输出文字与结构化结果保持符号、单位和工况一致。</x:v>
      </x:c>
      <x:c r="Q73" s="18" t="str">
        <x:v>新增</x:v>
      </x:c>
      <x:c r="R73" s="11" t="str">
        <x:v>无</x:v>
      </x:c>
      <x:c r="S73" s="11" t="str">
        <x:v>无</x:v>
      </x:c>
      <x:c r="T73" s="11" t="str">
        <x:v>新增工程场景；母模型、提示词和真值均待建立。</x:v>
      </x:c>
      <x:c r="U73" s="11" t="str">
        <x:v>拟建立独立审定的 OpenSees 模型及同版本/同设置参考结果；独立框架解；各层几何/载荷合计与节点平衡核验。 参考值尚未生成。 所有题定输出均须覆盖，校核实现不复用被测转换链路。</x:v>
      </x:c>
      <x:c r="V73" s="11" t="str">
        <x:v>基础工具；完整题面、参数/单位契约与真值待验证</x:v>
      </x:c>
      <x:c r="W73" s="11" t="str">
        <x:v>规划，待编题与验证</x:v>
      </x:c>
      <x:c r="X73" s="11" t="str">
        <x:v>OpenSees</x:v>
      </x:c>
      <x:c r="Y73" s="18" t="str">
        <x:v>OpenSees</x:v>
      </x:c>
      <x:c r="Z73" s="11" t="str">
        <x:v>当前为二维混凝土弹性框架题，采用 OpenSees，不另加楼板或空间建筑假设。 本题重点：楼层标高和各跨连接。</x:v>
      </x:c>
      <x:c r="AA73" s="11" t="str">
        <x:v>拟要求真实 OpenSees 求解，保存输入与原始结果的对应关系；解析式/独立矩阵解用于校核，不能替代规定引擎执行证据。</x:v>
      </x:c>
      <x:c r="AB73" s="11" t="str">
        <x:v>待逐题验证</x:v>
      </x:c>
      <x:c r="AC73" s="11" t="str">
        <x:v>不等层高累加后的几何与逐层线载须验收。 当前无据认定接口不支持；需实际能力测试后确定，不将未验证能力记为模型失败。</x:v>
      </x:c>
      <x:c r="AD7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3" s="11" t="str">
        <x:v>拟保存（尚未生成）：OpenSees 版本、可运行模型/脚本、节点构件和荷载表、实际计算日志、原始结果与工况索引、平衡/独立解校核记录。</x:v>
      </x:c>
      <x:c r="AF73" s="11" t="str">
        <x:v>OPS；COMMON</x:v>
      </x:c>
    </x:row>
    <x:row r="74" ht="54" customHeight="1">
      <x:c r="A74" s="15" t="str">
        <x:v>STD-073</x:v>
      </x:c>
      <x:c r="B74" s="6" t="str">
        <x:v>标准工作流</x:v>
      </x:c>
      <x:c r="C74" s="19" t="str">
        <x:v>M-STD-073</x:v>
      </x:c>
      <x:c r="D74" s="6" t="str">
        <x:v>梁柱采用不同混凝土等级</x:v>
      </x:c>
      <x:c r="E74" s="6" t="str">
        <x:v>平面混凝土框架</x:v>
      </x:c>
      <x:c r="F74" s="19" t="str">
        <x:v>2D</x:v>
      </x:c>
      <x:c r="G74" s="6" t="str">
        <x:v>按构件角色分配材料</x:v>
      </x:c>
      <x:c r="H74" s="19" t="str">
        <x:v>L3</x:v>
      </x:c>
      <x:c r="I74" s="6" t="str">
        <x:v>同一结构含不同材料刚度，若全局覆盖会改变侧移与内力分配。</x:v>
      </x:c>
      <x:c r="J74" s="19" t="str">
        <x:v>中文</x:v>
      </x:c>
      <x:c r="K74" s="6" t="str">
        <x:v>完整文字任务 + 随题分析属性表（待编制）</x:v>
      </x:c>
      <x:c r="L74" s="23" t="n">
        <x:v>1</x:v>
      </x:c>
      <x:c r="M74" s="6" t="str">
        <x:v>两层各3.6m、两跨各6m，柱C40梁C30，给定各自完整弹性属性，不做非线性；完整属性按公共契约随题给出。 柱C40、梁C30且各自E/ν已给；所有梁10kN/m，顶层右节点X向20kN。</x:v>
      </x:c>
      <x:c r="N74" s="6" t="str">
        <x:v>按构件角色分配材料而非全局覆盖</x:v>
      </x:c>
      <x:c r="O74" s="6" t="str">
        <x:v>各柱线侧移、梁柱代表端力、柱脚反力，附材料分配记录。</x:v>
      </x:c>
      <x:c r="P74" s="6" t="str">
        <x:v>按构件角色分配材料而非全局覆盖；指定位置/分量对照数值真值，输出文字与结构化结果保持符号、单位和工况一致。</x:v>
      </x:c>
      <x:c r="Q74" s="19" t="str">
        <x:v>新增</x:v>
      </x:c>
      <x:c r="R74" s="6" t="str">
        <x:v>无</x:v>
      </x:c>
      <x:c r="S74" s="6" t="str">
        <x:v>无</x:v>
      </x:c>
      <x:c r="T74" s="6" t="str">
        <x:v>新增工程场景；母模型、提示词和真值均待建立。</x:v>
      </x:c>
      <x:c r="U74" s="6" t="str">
        <x:v>拟建立独立审定的 OpenSees 模型及同版本/同设置参考结果；独立按构件材料组装；节点平衡、位移与材料映射逐一复核。 参考值尚未生成。 所有题定输出均须覆盖，校核实现不复用被测转换链路。</x:v>
      </x:c>
      <x:c r="V74" s="6" t="str">
        <x:v>基础工具；完整题面、参数/单位契约与真值待验证</x:v>
      </x:c>
      <x:c r="W74" s="6" t="str">
        <x:v>规划，待编题与验证</x:v>
      </x:c>
      <x:c r="X74" s="6" t="str">
        <x:v>OpenSees</x:v>
      </x:c>
      <x:c r="Y74" s="19" t="str">
        <x:v>OpenSees</x:v>
      </x:c>
      <x:c r="Z74" s="6" t="str">
        <x:v>当前为二维混凝土弹性框架题，采用 OpenSees，不另加楼板或空间建筑假设。 本题重点：按构件角色分配材料而非全局覆盖。</x:v>
      </x:c>
      <x:c r="AA74" s="6" t="str">
        <x:v>拟要求真实 OpenSees 求解，保存输入与原始结果的对应关系；解析式/独立矩阵解用于校核，不能替代规定引擎执行证据。</x:v>
      </x:c>
      <x:c r="AB74" s="6" t="str">
        <x:v>待逐题验证</x:v>
      </x:c>
      <x:c r="AC74" s="6" t="str">
        <x:v>按梁柱角色分配各自 E/ν，不以单一材料覆盖全结构。 当前无据认定接口不支持；需实际能力测试后确定，不将未验证能力记为模型失败。</x:v>
      </x:c>
      <x:c r="AD7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4" s="6" t="str">
        <x:v>拟保存（尚未生成）：OpenSees 版本、可运行模型/脚本、节点构件和荷载表、实际计算日志、原始结果与工况索引、平衡/独立解校核记录。</x:v>
      </x:c>
      <x:c r="AF74" s="6" t="str">
        <x:v>OPS；COMMON</x:v>
      </x:c>
    </x:row>
    <x:row r="75" ht="54" customHeight="1">
      <x:c r="A75" s="14" t="str">
        <x:v>STD-074</x:v>
      </x:c>
      <x:c r="B75" s="11" t="str">
        <x:v>标准工作流</x:v>
      </x:c>
      <x:c r="C75" s="18" t="str">
        <x:v>M-STD-074</x:v>
      </x:c>
      <x:c r="D75" s="11" t="str">
        <x:v>矩形柱不同截面方向</x:v>
      </x:c>
      <x:c r="E75" s="11" t="str">
        <x:v>平面混凝土框架</x:v>
      </x:c>
      <x:c r="F75" s="18" t="str">
        <x:v>2D</x:v>
      </x:c>
      <x:c r="G75" s="11" t="str">
        <x:v>矩形柱截面轴向</x:v>
      </x:c>
      <x:c r="H75" s="18" t="str">
        <x:v>L3</x:v>
      </x:c>
      <x:c r="I75" s="11" t="str">
        <x:v>相同截面尺寸因方向不同产生不同弯曲刚度，需要处理局部轴而非只识别名称。</x:v>
      </x:c>
      <x:c r="J75" s="18" t="str">
        <x:v>英文</x:v>
      </x:c>
      <x:c r="K75" s="11" t="str">
        <x:v>完整文字任务 + 随题分析属性表（待编制）</x:v>
      </x:c>
      <x:c r="L75" s="22" t="n">
        <x:v>1</x:v>
      </x:c>
      <x:c r="M75" s="11" t="str">
        <x:v>两层单跨7m，左右矩形柱强弱轴安排不同，完整惯性矩与局部轴显式提供；完整属性按公共契约随题给出。 两层均3.6m，各梁10kN/m，顶层右节点X向20kN；左右柱局部轴和惯性矩明列。</x:v>
      </x:c>
      <x:c r="N75" s="11" t="str">
        <x:v>矩形尺寸次序与实际弯曲刚度</x:v>
      </x:c>
      <x:c r="O75" s="11" t="str">
        <x:v>左右柱顶X位移、逐列层间位移差、柱端弯矩及柱脚反力。</x:v>
      </x:c>
      <x:c r="P75" s="11" t="str">
        <x:v>矩形尺寸次序与实际弯曲刚度；指定位置/分量对照数值真值，输出文字与结构化结果保持符号、单位和工况一致。</x:v>
      </x:c>
      <x:c r="Q75" s="18" t="str">
        <x:v>新增</x:v>
      </x:c>
      <x:c r="R75" s="11" t="str">
        <x:v>无</x:v>
      </x:c>
      <x:c r="S75" s="11" t="str">
        <x:v>无</x:v>
      </x:c>
      <x:c r="T75" s="11" t="str">
        <x:v>新增工程场景；母模型、提示词和真值均待建立。</x:v>
      </x:c>
      <x:c r="U75" s="11" t="str">
        <x:v>拟建立独立审定的 OpenSees 模型及同版本/同设置参考结果；独立局部到全局刚度变换；将截面转90°的映射关系作辅助校验。 参考值尚未生成。 所有题定输出均须覆盖，校核实现不复用被测转换链路。</x:v>
      </x:c>
      <x:c r="V75" s="11" t="str">
        <x:v>局部轴输入与适配需验证；完整题面、参数/单位契约与真值待验证</x:v>
      </x:c>
      <x:c r="W75" s="11" t="str">
        <x:v>规划，待编题与验证</x:v>
      </x:c>
      <x:c r="X75" s="11" t="str">
        <x:v>OpenSees</x:v>
      </x:c>
      <x:c r="Y75" s="18" t="str">
        <x:v>OpenSees</x:v>
      </x:c>
      <x:c r="Z75" s="11" t="str">
        <x:v>当前为二维混凝土弹性框架题，采用 OpenSees，不另加楼板或空间建筑假设。 本题重点：矩形尺寸次序与实际弯曲刚度。</x:v>
      </x:c>
      <x:c r="AA75" s="11" t="str">
        <x:v>拟要求真实 OpenSees 求解，保存输入与原始结果的对应关系；解析式/独立矩阵解用于校核，不能替代规定引擎执行证据。</x:v>
      </x:c>
      <x:c r="AB75" s="11" t="str">
        <x:v>待逐题验证</x:v>
      </x:c>
      <x:c r="AC75" s="11" t="str">
        <x:v>矩形柱局部轴与强弱惯性矩输入/转换须验证。 当前无据认定接口不支持；需实际能力测试后确定，不将未验证能力记为模型失败。</x:v>
      </x:c>
      <x:c r="AD7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5" s="11" t="str">
        <x:v>拟保存（尚未生成）：OpenSees 版本、可运行模型/脚本、节点构件和荷载表、实际计算日志、原始结果与工况索引、平衡/独立解校核记录。</x:v>
      </x:c>
      <x:c r="AF75" s="11" t="str">
        <x:v>OPS；COMMON</x:v>
      </x:c>
    </x:row>
    <x:row r="76" ht="54" customHeight="1">
      <x:c r="A76" s="15" t="str">
        <x:v>STD-075</x:v>
      </x:c>
      <x:c r="B76" s="6" t="str">
        <x:v>标准工作流</x:v>
      </x:c>
      <x:c r="C76" s="19" t="str">
        <x:v>M-STD-075</x:v>
      </x:c>
      <x:c r="D76" s="6" t="str">
        <x:v>上层单侧退台混凝土框架</x:v>
      </x:c>
      <x:c r="E76" s="6" t="str">
        <x:v>平面混凝土框架</x:v>
      </x:c>
      <x:c r="F76" s="19" t="str">
        <x:v>2D</x:v>
      </x:c>
      <x:c r="G76" s="6" t="str">
        <x:v>退台拓扑与分组混凝土截面</x:v>
      </x:c>
      <x:c r="H76" s="19" t="str">
        <x:v>L3</x:v>
      </x:c>
      <x:c r="I76" s="6" t="str">
        <x:v>拓扑按楼层变化，同时梁柱组属性和加载区域不同，需联合对应。</x:v>
      </x:c>
      <x:c r="J76" s="19" t="str">
        <x:v>中文</x:v>
      </x:c>
      <x:c r="K76" s="6" t="str">
        <x:v>完整文字任务 + 随题分析属性表（待编制）</x:v>
      </x:c>
      <x:c r="L76" s="23" t="n">
        <x:v>1</x:v>
      </x:c>
      <x:c r="M76" s="6" t="str">
        <x:v>下层三跨5m，上层只保留左侧两跨，逐组给梁柱截面；完整属性按公共契约随题给出。 两层均3.6m；下层三跨梁12kN/m，上层左两跨梁8kN/m，未建区域不加载。</x:v>
      </x:c>
      <x:c r="N76" s="6" t="str">
        <x:v>退台拓扑、材料和截面联合映射</x:v>
      </x:c>
      <x:c r="O76" s="6" t="str">
        <x:v>退台端节点位移、各柱线层间位移差、代表端力和柱脚反力。</x:v>
      </x:c>
      <x:c r="P76" s="6" t="str">
        <x:v>退台拓扑、材料和截面联合映射；指定位置/分量对照数值真值，输出文字与结构化结果保持符号、单位和工况一致。</x:v>
      </x:c>
      <x:c r="Q76" s="19" t="str">
        <x:v>新增</x:v>
      </x:c>
      <x:c r="R76" s="6" t="str">
        <x:v>无</x:v>
      </x:c>
      <x:c r="S76" s="6" t="str">
        <x:v>无</x:v>
      </x:c>
      <x:c r="T76" s="6" t="str">
        <x:v>新增工程场景；母模型、提示词和真值均待建立。</x:v>
      </x:c>
      <x:c r="U76" s="6" t="str">
        <x:v>拟建立独立审定的 OpenSees 模型及同版本/同设置参考结果；独立拓扑核对与框架解；按实际梁计载，退台节点与整体平衡核验。 参考值尚未生成。 所有题定输出均须覆盖，校核实现不复用被测转换链路。</x:v>
      </x:c>
      <x:c r="V76" s="6" t="str">
        <x:v>基础工具；完整题面、参数/单位契约与真值待验证</x:v>
      </x:c>
      <x:c r="W76" s="6" t="str">
        <x:v>规划，待编题与验证</x:v>
      </x:c>
      <x:c r="X76" s="6" t="str">
        <x:v>OpenSees</x:v>
      </x:c>
      <x:c r="Y76" s="19" t="str">
        <x:v>OpenSees</x:v>
      </x:c>
      <x:c r="Z76" s="6" t="str">
        <x:v>当前为二维混凝土弹性框架题，采用 OpenSees，不另加楼板或空间建筑假设。 本题重点：退台拓扑、材料和截面联合映射。</x:v>
      </x:c>
      <x:c r="AA76" s="6" t="str">
        <x:v>拟要求真实 OpenSees 求解，保存输入与原始结果的对应关系；解析式/独立矩阵解用于校核，不能替代规定引擎执行证据。</x:v>
      </x:c>
      <x:c r="AB76" s="6" t="str">
        <x:v>待逐题验证</x:v>
      </x:c>
      <x:c r="AC76" s="6" t="str">
        <x:v>分层退台、截面组及实际加载构件集合须验收。 当前无据认定接口不支持；需实际能力测试后确定，不将未验证能力记为模型失败。</x:v>
      </x:c>
      <x:c r="AD7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6" s="6" t="str">
        <x:v>拟保存（尚未生成）：OpenSees 版本、可运行模型/脚本、节点构件和荷载表、实际计算日志、原始结果与工况索引、平衡/独立解校核记录。</x:v>
      </x:c>
      <x:c r="AF76" s="6" t="str">
        <x:v>OPS；COMMON</x:v>
      </x:c>
    </x:row>
    <x:row r="77" ht="54" customHeight="1">
      <x:c r="A77" s="14" t="str">
        <x:v>STD-076</x:v>
      </x:c>
      <x:c r="B77" s="11" t="str">
        <x:v>标准工作流</x:v>
      </x:c>
      <x:c r="C77" s="18" t="str">
        <x:v>M-STD-076</x:v>
      </x:c>
      <x:c r="D77" s="11" t="str">
        <x:v>不同受荷宽度的两跨框架</x:v>
      </x:c>
      <x:c r="E77" s="11" t="str">
        <x:v>平面混凝土框架</x:v>
      </x:c>
      <x:c r="F77" s="18" t="str">
        <x:v>2D</x:v>
      </x:c>
      <x:c r="G77" s="11" t="str">
        <x:v>每跨不同受荷宽度</x:v>
      </x:c>
      <x:c r="H77" s="18" t="str">
        <x:v>L2</x:v>
      </x:c>
      <x:c r="I77" s="11" t="str">
        <x:v>同一面载按不同受荷宽度产生不同线载，不能用一个全局折算系数。</x:v>
      </x:c>
      <x:c r="J77" s="18" t="str">
        <x:v>英文</x:v>
      </x:c>
      <x:c r="K77" s="11" t="str">
        <x:v>完整文字任务 + 随题分析属性表（待编制）</x:v>
      </x:c>
      <x:c r="L77" s="22" t="n">
        <x:v>1</x:v>
      </x:c>
      <x:c r="M77" s="11" t="str">
        <x:v>两层，跨度5、7m，左右梁受荷宽度4、6m，楼面10kN/m²；完整属性按公共契约随题给出。 两层均3.6m；左梁线载40kN/m、右梁60kN/m，只施加转换后的线载。</x:v>
      </x:c>
      <x:c r="N77" s="11" t="str">
        <x:v>每跨独立折算且不可重复加面载</x:v>
      </x:c>
      <x:c r="O77" s="11" t="str">
        <x:v>左右梁跨中位移、各柱顶位移及三柱脚反力。</x:v>
      </x:c>
      <x:c r="P77" s="11" t="str">
        <x:v>每跨独立折算且不可重复加面载；指定位置/分量对照数值真值，输出文字与结构化结果保持符号、单位和工况一致。</x:v>
      </x:c>
      <x:c r="Q77" s="18" t="str">
        <x:v>新增</x:v>
      </x:c>
      <x:c r="R77" s="11" t="str">
        <x:v>无</x:v>
      </x:c>
      <x:c r="S77" s="11" t="str">
        <x:v>无</x:v>
      </x:c>
      <x:c r="T77" s="11" t="str">
        <x:v>新增工程场景；母模型、提示词和真值均待建立。</x:v>
      </x:c>
      <x:c r="U77" s="11" t="str">
        <x:v>拟建立独立审定的 OpenSees 模型及同版本/同设置参考结果；独立框架解；逐跨面积载荷与梁线载总力等价，整体合力矩复核。 参考值尚未生成。 所有题定输出均须覆盖，校核实现不复用被测转换链路。</x:v>
      </x:c>
      <x:c r="V77" s="11" t="str">
        <x:v>基础工具；完整题面、参数/单位契约与真值待验证</x:v>
      </x:c>
      <x:c r="W77" s="11" t="str">
        <x:v>规划，待编题与验证</x:v>
      </x:c>
      <x:c r="X77" s="11" t="str">
        <x:v>OpenSees</x:v>
      </x:c>
      <x:c r="Y77" s="18" t="str">
        <x:v>OpenSees</x:v>
      </x:c>
      <x:c r="Z77" s="11" t="str">
        <x:v>当前为二维混凝土弹性框架题，采用 OpenSees，不另加楼板或空间建筑假设。 本题重点：每跨独立折算且不可重复加面载。</x:v>
      </x:c>
      <x:c r="AA77" s="11" t="str">
        <x:v>拟要求真实 OpenSees 求解，保存输入与原始结果的对应关系；解析式/独立矩阵解用于校核，不能替代规定引擎执行证据。</x:v>
      </x:c>
      <x:c r="AB77" s="11" t="str">
        <x:v>待逐题验证</x:v>
      </x:c>
      <x:c r="AC77" s="11" t="str">
        <x:v>左右梁受荷宽度分别折算且只加载一次。 当前无据认定接口不支持；需实际能力测试后确定，不将未验证能力记为模型失败。</x:v>
      </x:c>
      <x:c r="AD7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7" s="11" t="str">
        <x:v>拟保存（尚未生成）：OpenSees 版本、可运行模型/脚本、节点构件和荷载表、实际计算日志、原始结果与工况索引、平衡/独立解校核记录。</x:v>
      </x:c>
      <x:c r="AF77" s="11" t="str">
        <x:v>OPS；COMMON</x:v>
      </x:c>
    </x:row>
    <x:row r="78" ht="54" customHeight="1">
      <x:c r="A78" s="15" t="str">
        <x:v>STD-077</x:v>
      </x:c>
      <x:c r="B78" s="6" t="str">
        <x:v>标准工作流</x:v>
      </x:c>
      <x:c r="C78" s="19" t="str">
        <x:v>M-STD-077</x:v>
      </x:c>
      <x:c r="D78" s="6" t="str">
        <x:v>变截面分层混凝土框架</x:v>
      </x:c>
      <x:c r="E78" s="6" t="str">
        <x:v>平面混凝土框架</x:v>
      </x:c>
      <x:c r="F78" s="19" t="str">
        <x:v>2D</x:v>
      </x:c>
      <x:c r="G78" s="6" t="str">
        <x:v>分层构件属性</x:v>
      </x:c>
      <x:c r="H78" s="19" t="str">
        <x:v>L3</x:v>
      </x:c>
      <x:c r="I78" s="6" t="str">
        <x:v>楼层和构件类型两层条件共同决定截面，默认全局截面会掩盖错误。</x:v>
      </x:c>
      <x:c r="J78" s="19" t="str">
        <x:v>中文</x:v>
      </x:c>
      <x:c r="K78" s="6" t="str">
        <x:v>完整文字任务 + 随题分析属性表（待编制）</x:v>
      </x:c>
      <x:c r="L78" s="23" t="n">
        <x:v>1</x:v>
      </x:c>
      <x:c r="M78" s="6" t="str">
        <x:v>三层两跨6m，下层柱600×600、上层500×500mm，顶层梁截面另列；完整属性按公共契约随题给出。 三层均3.3m，所有梁10kN/m；第一层柱600×600，二三层500×500，顶层梁另设B2。</x:v>
      </x:c>
      <x:c r="N78" s="6" t="str">
        <x:v>楼层与构件组属性同步映射</x:v>
      </x:c>
      <x:c r="O78" s="6" t="str">
        <x:v>各层节点位移、分层柱端力、顶层梁响应及柱脚反力。</x:v>
      </x:c>
      <x:c r="P78" s="6" t="str">
        <x:v>楼层与构件组属性同步映射；指定位置/分量对照数值真值，输出文字与结构化结果保持符号、单位和工况一致。</x:v>
      </x:c>
      <x:c r="Q78" s="19" t="str">
        <x:v>新增</x:v>
      </x:c>
      <x:c r="R78" s="6" t="str">
        <x:v>无</x:v>
      </x:c>
      <x:c r="S78" s="6" t="str">
        <x:v>无</x:v>
      </x:c>
      <x:c r="T78" s="6" t="str">
        <x:v>新增工程场景；母模型、提示词和真值均待建立。</x:v>
      </x:c>
      <x:c r="U78" s="6" t="str">
        <x:v>拟建立独立审定的 OpenSees 模型及同版本/同设置参考结果；独立逐成员刚度组装；属性分配表逐项审计，节点与整体平衡复核。 参考值尚未生成。 所有题定输出均须覆盖，校核实现不复用被测转换链路。</x:v>
      </x:c>
      <x:c r="V78" s="6" t="str">
        <x:v>基础工具；完整题面、参数/单位契约与真值待验证</x:v>
      </x:c>
      <x:c r="W78" s="6" t="str">
        <x:v>规划，待编题与验证</x:v>
      </x:c>
      <x:c r="X78" s="6" t="str">
        <x:v>OpenSees</x:v>
      </x:c>
      <x:c r="Y78" s="19" t="str">
        <x:v>OpenSees</x:v>
      </x:c>
      <x:c r="Z78" s="6" t="str">
        <x:v>当前为二维混凝土弹性框架题，采用 OpenSees，不另加楼板或空间建筑假设。 本题重点：楼层与构件组属性同步映射。</x:v>
      </x:c>
      <x:c r="AA78" s="6" t="str">
        <x:v>拟要求真实 OpenSees 求解，保存输入与原始结果的对应关系；解析式/独立矩阵解用于校核，不能替代规定引擎执行证据。</x:v>
      </x:c>
      <x:c r="AB78" s="6" t="str">
        <x:v>待逐题验证</x:v>
      </x:c>
      <x:c r="AC78" s="6" t="str">
        <x:v>跨楼层截面变化与顶层梁单独分组须验收。 当前无据认定接口不支持；需实际能力测试后确定，不将未验证能力记为模型失败。</x:v>
      </x:c>
      <x:c r="AD7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8" s="6" t="str">
        <x:v>拟保存（尚未生成）：OpenSees 版本、可运行模型/脚本、节点构件和荷载表、实际计算日志、原始结果与工况索引、平衡/独立解校核记录。</x:v>
      </x:c>
      <x:c r="AF78" s="6" t="str">
        <x:v>OPS；COMMON</x:v>
      </x:c>
    </x:row>
    <x:row r="79" ht="54" customHeight="1">
      <x:c r="A79" s="14" t="str">
        <x:v>STD-078</x:v>
      </x:c>
      <x:c r="B79" s="11" t="str">
        <x:v>标准工作流</x:v>
      </x:c>
      <x:c r="C79" s="18" t="str">
        <x:v>M-STD-078</x:v>
      </x:c>
      <x:c r="D79" s="11" t="str">
        <x:v>重力与反向侧力混凝土框架</x:v>
      </x:c>
      <x:c r="E79" s="11" t="str">
        <x:v>平面混凝土框架</x:v>
      </x:c>
      <x:c r="F79" s="18" t="str">
        <x:v>2D</x:v>
      </x:c>
      <x:c r="G79" s="11" t="str">
        <x:v>反向侧力与明确组合</x:v>
      </x:c>
      <x:c r="H79" s="18" t="str">
        <x:v>L3</x:v>
      </x:c>
      <x:c r="I79" s="11" t="str">
        <x:v>分层重力、侧力反向和三组合归属同时存在，不能将正负风取绝对值合并。</x:v>
      </x:c>
      <x:c r="J79" s="18" t="str">
        <x:v>英文</x:v>
      </x:c>
      <x:c r="K79" s="11" t="str">
        <x:v>完整文字任务 + 随题分析属性表（待编制）</x:v>
      </x:c>
      <x:c r="L79" s="22" t="n">
        <x:v>1</x:v>
      </x:c>
      <x:c r="M79" s="11" t="str">
        <x:v>三层单跨6m，D各层不同，W+与W-独立，题定三组组合；完整属性按公共契约随题给出。 三层均3.3m，D各层12/10/8kN/m；W+右侧各层X向10/15/20kN，W-相反；C0=D、C±=D+W±。</x:v>
      </x:c>
      <x:c r="N79" s="11" t="str">
        <x:v>正反向工况不能被绝对值化</x:v>
      </x:c>
      <x:c r="O79" s="11" t="str">
        <x:v>三组合各柱线侧移/层间位移差、柱脚反力及底层柱端弯矩。</x:v>
      </x:c>
      <x:c r="P79" s="11" t="str">
        <x:v>正反向工况不能被绝对值化；指定位置/分量对照数值真值，输出文字与结构化结果保持符号、单位和工况一致。</x:v>
      </x:c>
      <x:c r="Q79" s="18" t="str">
        <x:v>新增</x:v>
      </x:c>
      <x:c r="R79" s="11" t="str">
        <x:v>无</x:v>
      </x:c>
      <x:c r="S79" s="11" t="str">
        <x:v>无</x:v>
      </x:c>
      <x:c r="T79" s="11" t="str">
        <x:v>新增工程场景；母模型、提示词和真值均待建立。</x:v>
      </x:c>
      <x:c r="U79" s="11" t="str">
        <x:v>拟建立独立审定的 OpenSees 模型及同版本/同设置参考结果；独立D/W解并叠加；核验C+与C-平均为D、差值为2W的线性关系。 参考值尚未生成。 所有题定输出均须覆盖，校核实现不复用被测转换链路。</x:v>
      </x:c>
      <x:c r="V79" s="11" t="str">
        <x:v>多组合执行契约需验证；完整题面、参数/单位契约与真值待验证</x:v>
      </x:c>
      <x:c r="W79" s="11" t="str">
        <x:v>规划，待编题与验证</x:v>
      </x:c>
      <x:c r="X79" s="11" t="str">
        <x:v>OpenSees</x:v>
      </x:c>
      <x:c r="Y79" s="18" t="str">
        <x:v>OpenSees</x:v>
      </x:c>
      <x:c r="Z79" s="11" t="str">
        <x:v>当前为二维混凝土弹性框架题，采用 OpenSees，不另加楼板或空间建筑假设。 本题重点：正反向工况不能被绝对值化。</x:v>
      </x:c>
      <x:c r="AA79" s="11" t="str">
        <x:v>拟要求真实 OpenSees 求解，保存输入与原始结果的对应关系；解析式/独立矩阵解用于校核，不能替代规定引擎执行证据。</x:v>
      </x:c>
      <x:c r="AB79" s="11" t="str">
        <x:v>待逐题验证</x:v>
      </x:c>
      <x:c r="AC79" s="11" t="str">
        <x:v>W+、W- 与 C± 保留正负号，组合及控制结果索引须验证。 当前无据认定接口不支持；需实际能力测试后确定，不将未验证能力记为模型失败。</x:v>
      </x:c>
      <x:c r="AD7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79" s="11" t="str">
        <x:v>拟保存（尚未生成）：OpenSees 版本、可运行模型/脚本、节点构件和荷载表、实际计算日志、原始结果与工况索引、平衡/独立解校核记录。</x:v>
      </x:c>
      <x:c r="AF79" s="11" t="str">
        <x:v>OPS；COMMON</x:v>
      </x:c>
    </x:row>
    <x:row r="80" ht="67.5" customHeight="1">
      <x:c r="A80" s="15" t="str">
        <x:v>STD-079</x:v>
      </x:c>
      <x:c r="B80" s="6" t="str">
        <x:v>标准工作流</x:v>
      </x:c>
      <x:c r="C80" s="19" t="str">
        <x:v>M-STD-079</x:v>
      </x:c>
      <x:c r="D80" s="6" t="str">
        <x:v>两层单跨双向空间钢框架</x:v>
      </x:c>
      <x:c r="E80" s="6" t="str">
        <x:v>空间框架</x:v>
      </x:c>
      <x:c r="F80" s="19" t="str">
        <x:v>3D</x:v>
      </x:c>
      <x:c r="G80" s="6" t="str">
        <x:v>基础空间框架与楼面分配</x:v>
      </x:c>
      <x:c r="H80" s="19" t="str">
        <x:v>L2</x:v>
      </x:c>
      <x:c r="I80" s="6" t="str">
        <x:v>双水平轴和空间连通已明确，但面载须按给定分配转成等效梁载。</x:v>
      </x:c>
      <x:c r="J80" s="19" t="str">
        <x:v>中文</x:v>
      </x:c>
      <x:c r="K80" s="6" t="str">
        <x:v>完整文字任务 + 随题分析属性表（待编制）</x:v>
      </x:c>
      <x:c r="L80" s="23" t="n">
        <x:v>1</x:v>
      </x:c>
      <x:c r="M80" s="6" t="str">
        <x:v>X向6m一跨、Y向5m一跨、两层各3.6m，每层10kN/m²；完整属性按公共契约随题给出。 楼面单向传给X梁，按Y向半跨受荷宽度：每根X梁25kN/m；Y梁不重复加载，不加刚性楼板。</x:v>
      </x:c>
      <x:c r="N80" s="6" t="str">
        <x:v>两个水平轴与真实空间连接</x:v>
      </x:c>
      <x:c r="O80" s="6" t="str">
        <x:v>各层四角节点三向位移、各柱列X/Y层间位移差、四柱脚反力和X/Y代表梁端力。</x:v>
      </x:c>
      <x:c r="P80" s="6" t="str">
        <x:v>两个水平轴与真实空间连接；指定位置/分量对照数值真值，输出文字与结构化结果保持符号、单位和工况一致。</x:v>
      </x:c>
      <x:c r="Q80" s="19" t="str">
        <x:v>旧题改编</x:v>
      </x:c>
      <x:c r="R80" s="6" t="str">
        <x:v>std-frame3d-simple-gt</x:v>
      </x:c>
      <x:c r="S80" s="6" t="str">
        <x:v>无</x:v>
      </x:c>
      <x:c r="T80" s="6" t="str">
        <x:v>保留旧题主要几何与荷载，显式补齐单位、自重、观测位置和结果评分；新契约下须重新核验真值。</x:v>
      </x:c>
      <x:c r="U80" s="6" t="str">
        <x:v>拟建立独立审定的 OpenSees 模型及同版本/同设置参考结果；独立三维框架刚度法；每层荷载合计300kN和空间合力矩核验，重建明确分配下真值。 参考值尚未生成。 所有题定输出均须覆盖，校核实现不复用被测转换链路。</x:v>
      </x:c>
      <x:c r="V80" s="6" t="str">
        <x:v>基础工具；完整题面、参数/单位契约与真值待验证；单向楼面到X梁的显式分配与空间数值真值待验证</x:v>
      </x:c>
      <x:c r="W80" s="6" t="str">
        <x:v>规划，待编题与验证</x:v>
      </x:c>
      <x:c r="X80" s="6" t="str">
        <x:v>OpenSees；YJK；PKPM（建筑软件需另外验收相同物理假设与接口）</x:v>
      </x:c>
      <x:c r="Y80" s="19" t="str">
        <x:v>OpenSees</x:v>
      </x:c>
      <x:c r="Z80" s="6" t="str">
        <x:v>保留基础空间框架作为 OpenSees 三向响应与显式单向楼面传载参照；不因空间模型就一律归商业软件。 本题重点：两个水平轴与真实空间连接。</x:v>
      </x:c>
      <x:c r="AA80" s="6" t="str">
        <x:v>拟要求真实 OpenSees 求解，保存输入与原始结果的对应关系；解析式/独立矩阵解用于校核，不能替代规定引擎执行证据。</x:v>
      </x:c>
      <x:c r="AB80" s="6" t="str">
        <x:v>待逐题验证</x:v>
      </x:c>
      <x:c r="AC80" s="6" t="str">
        <x:v>楼面单向分配为 X 梁 25 kN/m，Y 梁不重复加载；空间位移/端力及无刚性楼板需验收。 当前无据认定接口不支持；需实际能力测试后确定，不将未验证能力记为模型失败。</x:v>
      </x:c>
      <x:c r="AD8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楼面仅折算至 X 梁 25 kN/m，Y 梁不重复加载。</x:v>
      </x:c>
      <x:c r="AE80" s="6" t="str">
        <x:v>拟保存（尚未生成）：OpenSees 版本、可运行模型/脚本、节点构件和荷载表、实际计算日志、原始结果与工况索引、平衡/独立解校核记录。</x:v>
      </x:c>
      <x:c r="AF80" s="6" t="str">
        <x:v>OPS；COMMON</x:v>
      </x:c>
    </x:row>
    <x:row r="81" ht="67.5" customHeight="1">
      <x:c r="A81" s="14" t="str">
        <x:v>STD-080</x:v>
      </x:c>
      <x:c r="B81" s="11" t="str">
        <x:v>标准工作流</x:v>
      </x:c>
      <x:c r="C81" s="18" t="str">
        <x:v>M-STD-080</x:v>
      </x:c>
      <x:c r="D81" s="11" t="str">
        <x:v>两层2乘1跨空间钢框架</x:v>
      </x:c>
      <x:c r="E81" s="11" t="str">
        <x:v>空间框架</x:v>
      </x:c>
      <x:c r="F81" s="18" t="str">
        <x:v>3D</x:v>
      </x:c>
      <x:c r="G81" s="11" t="str">
        <x:v>双向跨数不同与引擎迁移</x:v>
      </x:c>
      <x:c r="H81" s="18" t="str">
        <x:v>L2</x:v>
      </x:c>
      <x:c r="I81" s="11" t="str">
        <x:v>X有两跨而Y仅一跨，空间连接与面载分配均需对应，不以换引擎本身加难度。</x:v>
      </x:c>
      <x:c r="J81" s="18" t="str">
        <x:v>英文</x:v>
      </x:c>
      <x:c r="K81" s="11" t="str">
        <x:v>完整文字任务 + 随题分析属性表（待编制）</x:v>
      </x:c>
      <x:c r="L81" s="22" t="n">
        <x:v>1</x:v>
      </x:c>
      <x:c r="M81" s="11" t="str">
        <x:v>X向6+6m、Y向5m，两层3.6m，楼面8kN/m²；完整属性按公共契约随题给出。 拟用 PKPM 原生计算；单向传给X梁，每根X梁20kN/m，Y梁不重复加载，不加刚性楼板。</x:v>
      </x:c>
      <x:c r="N81" s="11" t="str">
        <x:v>X/Y跨数不同及楼面作用</x:v>
      </x:c>
      <x:c r="O81" s="11" t="str">
        <x:v>各层六节点三向位移、逐柱列X/Y层间位移差、六柱脚反力及代表梁柱端力。</x:v>
      </x:c>
      <x:c r="P81" s="11" t="str">
        <x:v>X/Y跨数不同及楼面作用；指定位置/分量对照数值真值，输出文字与结构化结果保持符号、单位和工况一致。</x:v>
      </x:c>
      <x:c r="Q81" s="18" t="str">
        <x:v>旧题改编</x:v>
      </x:c>
      <x:c r="R81" s="11" t="str">
        <x:v>frame-3d-2story-2bayx-1bayy</x:v>
      </x:c>
      <x:c r="S81" s="11" t="str">
        <x:v>无</x:v>
      </x:c>
      <x:c r="T81" s="11" t="str">
        <x:v>保留旧题主要几何与荷载，显式补齐单位、自重、观测位置和结果评分；新契约下须重新核验真值。 保留旧题商业软件来源，本题按指定软件重算并显式核对楼面分配；几何沿用不代表旧数值可直接复用。</x:v>
      </x:c>
      <x:c r="U81" s="11" t="str">
        <x:v>拟在 PKPM 中独立建模并人工审定输入、版本和分析设置，生成本题全部要求的位移/内力/反力同引擎标答；独立三维杆系解及每层总载 480 kN、空间平衡复核。旧值仅作线索，不直接继承；跨引擎仅校核，不以 OpenSees 唯一判卷。尚未生成。</x:v>
      </x:c>
      <x:c r="V81" s="11" t="str">
        <x:v>按本题拟定 PKPM 独立重算并核验；完整题面、参数/单位契约与真值待验证；单向楼面到X梁的显式分配与空间数值真值待验证</x:v>
      </x:c>
      <x:c r="W81" s="11" t="str">
        <x:v>规划，待编题与验证</x:v>
      </x:c>
      <x:c r="X81" s="11" t="str">
        <x:v>YJK；PKPM；OpenSees（均须保持题定一阶杆系假设；不代表当前接口已支持）</x:v>
      </x:c>
      <x:c r="Y81" s="18" t="str">
        <x:v>PKPM</x:v>
      </x:c>
      <x:c r="Z81" s="11" t="str">
        <x:v>沿用旧题指定 PKPM；两层同平面建筑钢框架，考察双向柱网、单向楼面分配和原生结果交付。</x:v>
      </x:c>
      <x:c r="AA81" s="11" t="str">
        <x:v>拟要求真实 PKPM 原生建模和求解，并交付关联本题的项目、计算日志及原始结果；OpenSees 替代或仅生成兼容文件不能计作原生计算完成。</x:v>
      </x:c>
      <x:c r="AB81" s="11" t="str">
        <x:v>存在已知接口缺口</x:v>
      </x:c>
      <x:c r="AC81" s="11" t="str">
        <x:v>当前仅楼面 DL/LL 输入，题定 X 梁单向线载、Y 梁不加载须显式映射；结果读取器未返回本题要求的六柱脚节点反力。另须验收自重关闭、无刚性楼板、轴系/单位及题定工况到原生设置的映射；未实际运行。</x:v>
      </x:c>
      <x:c r="AD81" s="11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1" s="11" t="str">
        <x:v>拟保存（尚未生成）：PKPM 版本、独立模型/项目标识、节点构件属性及荷载审计表、原生计算日志、原始结果文件；位移/端力/反力逐项关联模型、构件、工况与单位。</x:v>
      </x:c>
      <x:c r="AF81" s="11" t="str">
        <x:v>PKPM；COMMON</x:v>
      </x:c>
    </x:row>
    <x:row r="82" ht="67.5" customHeight="1">
      <x:c r="A82" s="15" t="str">
        <x:v>STD-081</x:v>
      </x:c>
      <x:c r="B82" s="6" t="str">
        <x:v>标准工作流</x:v>
      </x:c>
      <x:c r="C82" s="19" t="str">
        <x:v>M-STD-081</x:v>
      </x:c>
      <x:c r="D82" s="6" t="str">
        <x:v>三层1乘2跨空间钢框架</x:v>
      </x:c>
      <x:c r="E82" s="6" t="str">
        <x:v>空间框架</x:v>
      </x:c>
      <x:c r="F82" s="19" t="str">
        <x:v>3D</x:v>
      </x:c>
      <x:c r="G82" s="6" t="str">
        <x:v>多层空间网格与方向索引</x:v>
      </x:c>
      <x:c r="H82" s="19" t="str">
        <x:v>L3</x:v>
      </x:c>
      <x:c r="I82" s="6" t="str">
        <x:v>楼层、两个水平网格与不同受荷宽度联合索引，方向互换会改变受力。</x:v>
      </x:c>
      <x:c r="J82" s="19" t="str">
        <x:v>中文</x:v>
      </x:c>
      <x:c r="K82" s="6" t="str">
        <x:v>完整文字任务 + 随题分析属性表（待编制）</x:v>
      </x:c>
      <x:c r="L82" s="23" t="n">
        <x:v>1</x:v>
      </x:c>
      <x:c r="M82" s="6" t="str">
        <x:v>X向6m、Y向5+5m，三层3.3m，每层10kN/m²；完整属性按公共契约随题给出。 拟用 YJK 原生计算；X梁按Y轴线0/5/10m取25/50/25kN/m，Y梁不重复加载。</x:v>
      </x:c>
      <x:c r="N82" s="6" t="str">
        <x:v>空间方向、楼层和构件映射</x:v>
      </x:c>
      <x:c r="O82" s="6" t="str">
        <x:v>每层六节点三向位移、逐柱列X/Y层间位移差、底柱端力及支反力。</x:v>
      </x:c>
      <x:c r="P82" s="6" t="str">
        <x:v>空间方向、楼层和构件映射；指定位置/分量对照数值真值，输出文字与结构化结果保持符号、单位和工况一致。</x:v>
      </x:c>
      <x:c r="Q82" s="19" t="str">
        <x:v>旧题改编</x:v>
      </x:c>
      <x:c r="R82" s="6" t="str">
        <x:v>frame-3d-3story-1bayx-2bayy-en</x:v>
      </x:c>
      <x:c r="S82" s="6" t="str">
        <x:v>无</x:v>
      </x:c>
      <x:c r="T82" s="6" t="str">
        <x:v>保留旧题主要几何与荷载，显式补齐单位、自重、观测位置和结果评分；新契约下须重新核验真值。 保留旧题商业软件来源，本题按指定软件重算并显式核对楼面分配；几何沿用不代表旧数值可直接复用。</x:v>
      </x:c>
      <x:c r="U82" s="6" t="str">
        <x:v>拟在 YJK 中独立建模并人工审定输入、版本和分析设置，生成本题全部要求的位移/内力/反力同引擎标答；独立三维杆系解及每层总载 600 kN、六分量平衡复核。旧值仅作线索，不直接继承；跨引擎仅校核，不以 OpenSees 唯一判卷。尚未生成。</x:v>
      </x:c>
      <x:c r="V82" s="6" t="str">
        <x:v>按本题拟定 YJK 独立重算并核验；完整题面、参数/单位契约与真值待验证；单向楼面到X梁的显式分配与空间数值真值待验证</x:v>
      </x:c>
      <x:c r="W82" s="6" t="str">
        <x:v>规划，待编题与验证</x:v>
      </x:c>
      <x:c r="X82" s="6" t="str">
        <x:v>YJK；PKPM；OpenSees（均须保持题定一阶杆系假设；不代表当前接口已支持）</x:v>
      </x:c>
      <x:c r="Y82" s="19" t="str">
        <x:v>YJK</x:v>
      </x:c>
      <x:c r="Z82" s="6" t="str">
        <x:v>沿用旧题指定 YJK；三层建筑钢框架，考察 X/Y 跨数、分层连接及边中梁受荷宽度。</x:v>
      </x:c>
      <x:c r="AA82" s="6" t="str">
        <x:v>拟要求真实 YJK 原生建模和求解，并交付关联本题的项目、计算日志及原始结果；OpenSees 替代或仅生成兼容文件不能计作原生计算完成。</x:v>
      </x:c>
      <x:c r="AB82" s="6" t="str">
        <x:v>存在已知接口缺口</x:v>
      </x:c>
      <x:c r="AC82" s="6" t="str">
        <x:v>现有完整规则柱网可作为接入起点，但楼面 DL/LL 输入尚不能证明题定 X 梁 25/50/25 kN/m 分配；须验证或补齐逐梁荷载入口及位移/端力读取。另须验收自重关闭、无刚性楼板、轴系/单位及题定工况到原生设置的映射；未实际运行。</x:v>
      </x:c>
      <x:c r="AD82" s="6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2" s="6" t="str">
        <x:v>拟保存（尚未生成）：YJK 版本、独立模型/项目标识、节点构件属性及荷载审计表、原生计算日志、原始结果文件；位移/端力/反力逐项关联模型、构件、工况与单位。</x:v>
      </x:c>
      <x:c r="AF82" s="6" t="str">
        <x:v>YJK；COMMON</x:v>
      </x:c>
    </x:row>
    <x:row r="83" ht="67.5" customHeight="1">
      <x:c r="A83" s="14" t="str">
        <x:v>STD-082</x:v>
      </x:c>
      <x:c r="B83" s="11" t="str">
        <x:v>标准工作流</x:v>
      </x:c>
      <x:c r="C83" s="18" t="str">
        <x:v>M-STD-082</x:v>
      </x:c>
      <x:c r="D83" s="11" t="str">
        <x:v>两层2乘2跨空间钢框架</x:v>
      </x:c>
      <x:c r="E83" s="11" t="str">
        <x:v>空间框架</x:v>
      </x:c>
      <x:c r="F83" s="18" t="str">
        <x:v>3D</x:v>
      </x:c>
      <x:c r="G83" s="11" t="str">
        <x:v>分层面载与空间分配</x:v>
      </x:c>
      <x:c r="H83" s="18" t="str">
        <x:v>L3</x:v>
      </x:c>
      <x:c r="I83" s="11" t="str">
        <x:v>空间三类柱位与两个楼层不同荷载叠加，需要正确维护楼层和受荷宽度索引。</x:v>
      </x:c>
      <x:c r="J83" s="18" t="str">
        <x:v>英文</x:v>
      </x:c>
      <x:c r="K83" s="11" t="str">
        <x:v>完整文字任务 + 随题分析属性表（待编制）</x:v>
      </x:c>
      <x:c r="L83" s="22" t="n">
        <x:v>1</x:v>
      </x:c>
      <x:c r="M83" s="11" t="str">
        <x:v>X向6+6m、Y向5+5m，两层3.6m，一层10二层8kN/m²；完整属性按公共契约随题给出。 拟用 PKPM 原生计算；X梁沿Y轴线半跨分配，一层25/50/25、二层20/40/20kN/m；不加楼板约束。</x:v>
      </x:c>
      <x:c r="N83" s="11" t="str">
        <x:v>不同楼层荷载及空间拓扑</x:v>
      </x:c>
      <x:c r="O83" s="11" t="str">
        <x:v>每层九节点三向位移、各柱列层间位移差、角/边/中柱底反力和代表梁端力。</x:v>
      </x:c>
      <x:c r="P83" s="11" t="str">
        <x:v>不同楼层荷载及空间拓扑；指定位置/分量对照数值真值，输出文字与结构化结果保持符号、单位和工况一致。</x:v>
      </x:c>
      <x:c r="Q83" s="18" t="str">
        <x:v>旧题改编</x:v>
      </x:c>
      <x:c r="R83" s="11" t="str">
        <x:v>std-frame3d-complex-gt</x:v>
      </x:c>
      <x:c r="S83" s="11" t="str">
        <x:v>无</x:v>
      </x:c>
      <x:c r="T83" s="11" t="str">
        <x:v>保留旧题主要几何与荷载，显式补齐单位、自重、观测位置和结果评分；新契约下须重新核验真值。 保留旧题商业软件来源，本题按指定软件重算并显式核对楼面分配；几何沿用不代表旧数值可直接复用。</x:v>
      </x:c>
      <x:c r="U83" s="11" t="str">
        <x:v>拟在 PKPM 中独立建模并人工审定输入、版本和分析设置，生成本题全部要求的位移/内力/反力同引擎标答；独立三维杆系解及两层总载 1200/960 kN、角边中柱分配复核。旧值仅作线索，不直接继承；跨引擎仅校核，不以 OpenSees 唯一判卷。尚未生成。</x:v>
      </x:c>
      <x:c r="V83" s="11" t="str">
        <x:v>按本题拟定 PKPM 独立重算并核验；完整题面、参数/单位契约与真值待验证；单向楼面到X梁的显式分配与空间数值真值待验证</x:v>
      </x:c>
      <x:c r="W83" s="11" t="str">
        <x:v>规划，待编题与验证</x:v>
      </x:c>
      <x:c r="X83" s="11" t="str">
        <x:v>YJK；PKPM；OpenSees（均须保持题定一阶杆系假设；不代表当前接口已支持）</x:v>
      </x:c>
      <x:c r="Y83" s="18" t="str">
        <x:v>PKPM</x:v>
      </x:c>
      <x:c r="Z83" s="11" t="str">
        <x:v>沿用旧题指定 PKPM；同平面双向多跨建筑框架，考察楼层荷载差异和角/边/中柱响应。</x:v>
      </x:c>
      <x:c r="AA83" s="11" t="str">
        <x:v>拟要求真实 PKPM 原生建模和求解，并交付关联本题的项目、计算日志及原始结果；OpenSees 替代或仅生成兼容文件不能计作原生计算完成。</x:v>
      </x:c>
      <x:c r="AB83" s="11" t="str">
        <x:v>存在已知接口缺口</x:v>
      </x:c>
      <x:c r="AC83" s="11" t="str">
        <x:v>须显式保留两层 X 梁 25/50/25 与 20/40/20 kN/m 分配，不以自动楼面分配替代；结果读取器未返回角/边/中柱的柱脚节点反力。另须验收自重关闭、无刚性楼板、轴系/单位及题定工况到原生设置的映射；未实际运行。</x:v>
      </x:c>
      <x:c r="AD83" s="11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3" s="11" t="str">
        <x:v>拟保存（尚未生成）：PKPM 版本、独立模型/项目标识、节点构件属性及荷载审计表、原生计算日志、原始结果文件；位移/端力/反力逐项关联模型、构件、工况与单位。</x:v>
      </x:c>
      <x:c r="AF83" s="11" t="str">
        <x:v>PKPM；COMMON</x:v>
      </x:c>
    </x:row>
    <x:row r="84" ht="81" customHeight="1">
      <x:c r="A84" s="15" t="str">
        <x:v>STD-083</x:v>
      </x:c>
      <x:c r="B84" s="6" t="str">
        <x:v>标准工作流</x:v>
      </x:c>
      <x:c r="C84" s="19" t="str">
        <x:v>M-STD-083</x:v>
      </x:c>
      <x:c r="D84" s="6" t="str">
        <x:v>分层材料的空间混凝土框架</x:v>
      </x:c>
      <x:c r="E84" s="6" t="str">
        <x:v>空间框架</x:v>
      </x:c>
      <x:c r="F84" s="19" t="str">
        <x:v>3D</x:v>
      </x:c>
      <x:c r="G84" s="6" t="str">
        <x:v>空间框架分层材料与楼面分配</x:v>
      </x:c>
      <x:c r="H84" s="19" t="str">
        <x:v>L3</x:v>
      </x:c>
      <x:c r="I84" s="6" t="str">
        <x:v>材料随楼层和构件角色改变，空间几何、属性表和楼面分配必须联合对应。</x:v>
      </x:c>
      <x:c r="J84" s="19" t="str">
        <x:v>中文</x:v>
      </x:c>
      <x:c r="K84" s="6" t="str">
        <x:v>完整文字任务 + 随题分析属性表（待编制）</x:v>
      </x:c>
      <x:c r="L84" s="23" t="n">
        <x:v>1</x:v>
      </x:c>
      <x:c r="M84" s="6" t="str">
        <x:v>X向6+6m、Y向5m、两层各3.6m的空间混凝土框架，柱脚固定；首层柱C40，上层柱和全部梁C30，各组E明确。每层楼面12kN/m²单向传给X梁，各X梁30kN/m，Y梁不重复加载。</x:v>
      </x:c>
      <x:c r="N84" s="6" t="str">
        <x:v>首层/上层与梁/柱角色共同决定材料，楼面只按明示规则传给X梁</x:v>
      </x:c>
      <x:c r="O84" s="6" t="str">
        <x:v>两层六节点三向位移、逐柱列X/Y层间差、首层/上层柱端力和各柱脚反力。</x:v>
      </x:c>
      <x:c r="P84" s="6" t="str">
        <x:v>首层/上层与梁/柱角色共同决定材料，楼面只按明示规则传给X梁；指定位置/分量对照数值真值，输出文字与结构化结果保持符号、单位和工况一致。</x:v>
      </x:c>
      <x:c r="Q84" s="19" t="str">
        <x:v>旧题改编</x:v>
      </x:c>
      <x:c r="R84" s="6" t="str">
        <x:v>concrete-frame-3d-2story-static</x:v>
      </x:c>
      <x:c r="S84" s="6" t="str">
        <x:v>无</x:v>
      </x:c>
      <x:c r="T84" s="6" t="str">
        <x:v>保留旧题主要几何与荷载，显式补齐单位、自重、观测位置和结果评分；新契约下须重新核验真值。 保留旧题商业软件来源，本题按指定软件重算并显式核对楼面分配；几何沿用不代表旧数值可直接复用。 首层柱改C40形成分层材料模型，不能视为钢模型仅替换一个全局E值。</x:v>
      </x:c>
      <x:c r="U84" s="6" t="str">
        <x:v>拟在 PKPM 中独立建模并人工审定输入、版本和分析设置，生成本题全部要求的位移/内力/反力同引擎标答；按逐成员 E 建独立三维杆系解；每层总载 720 kN、分层材料与空间平衡复核。旧值仅作线索，不直接继承；跨引擎仅校核，不以 OpenSees 唯一判卷。尚未生成。</x:v>
      </x:c>
      <x:c r="V84" s="6" t="str">
        <x:v>按本题拟定 PKPM 独立重算并核验；完整题面、参数/单位契约与真值待验证；单向楼面到X梁的显式分配与空间数值真值待验证</x:v>
      </x:c>
      <x:c r="W84" s="6" t="str">
        <x:v>规划，待编题与验证</x:v>
      </x:c>
      <x:c r="X84" s="6" t="str">
        <x:v>YJK；PKPM；OpenSees（均须保持题定一阶杆系假设；不代表当前接口已支持）</x:v>
      </x:c>
      <x:c r="Y84" s="19" t="str">
        <x:v>PKPM</x:v>
      </x:c>
      <x:c r="Z84" s="6" t="str">
        <x:v>沿用旧题指定 PKPM；建筑混凝土框架以分层材料为核心，接口缺口需解决，不能改回统一材料凑可运行题。</x:v>
      </x:c>
      <x:c r="AA84" s="6" t="str">
        <x:v>拟要求真实 PKPM 原生建模和求解，并交付关联本题的项目、计算日志及原始结果；OpenSees 替代或仅生成兼容文件不能计作原生计算完成。</x:v>
      </x:c>
      <x:c r="AB84" s="6" t="str">
        <x:v>存在已知接口缺口</x:v>
      </x:c>
      <x:c r="AC84" s="6" t="str">
        <x:v>现有重复楼层模板要求对应构件材料一致，首层柱 C40 与上层柱 C30 存在已知差异；需补分层属性、题定单向梁荷载映射及柱脚节点反力读取。另须验收自重关闭、无刚性楼板、轴系/单位及题定工况到原生设置的映射；未实际运行。</x:v>
      </x:c>
      <x:c r="AD84" s="6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4" s="6" t="str">
        <x:v>拟保存（尚未生成）：PKPM 版本、独立模型/项目标识、节点构件属性及荷载审计表、原生计算日志、原始结果文件；位移/端力/反力逐项关联模型、构件、工况与单位。</x:v>
      </x:c>
      <x:c r="AF84" s="6" t="str">
        <x:v>PKPM；COMMON</x:v>
      </x:c>
    </x:row>
    <x:row r="85" ht="67.5" customHeight="1">
      <x:c r="A85" s="14" t="str">
        <x:v>STD-084</x:v>
      </x:c>
      <x:c r="B85" s="11" t="str">
        <x:v>标准工作流</x:v>
      </x:c>
      <x:c r="C85" s="18" t="str">
        <x:v>M-STD-084</x:v>
      </x:c>
      <x:c r="D85" s="11" t="str">
        <x:v>两层空间混凝土框架不同层载</x:v>
      </x:c>
      <x:c r="E85" s="11" t="str">
        <x:v>空间框架</x:v>
      </x:c>
      <x:c r="F85" s="18" t="str">
        <x:v>3D</x:v>
      </x:c>
      <x:c r="G85" s="11" t="str">
        <x:v>混凝土空间框架分层荷载</x:v>
      </x:c>
      <x:c r="H85" s="18" t="str">
        <x:v>L3</x:v>
      </x:c>
      <x:c r="I85" s="11" t="str">
        <x:v>材料/截面角色、空间方向和分层荷载三者同时映射，不能全楼复制同一载荷。</x:v>
      </x:c>
      <x:c r="J85" s="18" t="str">
        <x:v>英文</x:v>
      </x:c>
      <x:c r="K85" s="11" t="str">
        <x:v>完整文字任务 + 随题分析属性表（待编制）</x:v>
      </x:c>
      <x:c r="L85" s="22" t="n">
        <x:v>1</x:v>
      </x:c>
      <x:c r="M85" s="11" t="str">
        <x:v>X向6+6m、Y向5m，两层3.6m，一层12二层10kN/m²；完整属性按公共契约随题给出。 拟用 YJK 原生计算；每根X梁一层30、二层25kN/m，Y梁不重复加载；梁柱材料截面按表。</x:v>
      </x:c>
      <x:c r="N85" s="11" t="str">
        <x:v>材料截面与楼层荷载联合映射</x:v>
      </x:c>
      <x:c r="O85" s="11" t="str">
        <x:v>各层六节点三向位移、逐柱列层间位移差、六柱脚反力与分层柱端力。</x:v>
      </x:c>
      <x:c r="P85" s="11" t="str">
        <x:v>材料截面与楼层荷载联合映射；指定位置/分量对照数值真值，输出文字与结构化结果保持符号、单位和工况一致。</x:v>
      </x:c>
      <x:c r="Q85" s="18" t="str">
        <x:v>旧题改编</x:v>
      </x:c>
      <x:c r="R85" s="11" t="str">
        <x:v>std-frame3d-concrete-gt</x:v>
      </x:c>
      <x:c r="S85" s="11" t="str">
        <x:v>无</x:v>
      </x:c>
      <x:c r="T85" s="11" t="str">
        <x:v>保留旧题主要几何与荷载，显式补齐单位、自重、观测位置和结果评分；新契约下须重新核验真值。 保留旧题商业软件来源，本题按指定软件重算并显式核对楼面分配；几何沿用不代表旧数值可直接复用。</x:v>
      </x:c>
      <x:c r="U85" s="11" t="str">
        <x:v>拟在 YJK 中独立建模并人工审定输入、版本和分析设置，生成本题全部要求的位移/内力/反力同引擎标答；独立三维杆系解及两层总载 720/600 kN、分层响应复核。旧值仅作线索，不直接继承；跨引擎仅校核，不以 OpenSees 唯一判卷。尚未生成。</x:v>
      </x:c>
      <x:c r="V85" s="11" t="str">
        <x:v>按本题拟定 YJK 独立重算并核验；完整题面、参数/单位契约与真值待验证；单向楼面到X梁的显式分配与空间数值真值待验证</x:v>
      </x:c>
      <x:c r="W85" s="11" t="str">
        <x:v>规划，待编题与验证</x:v>
      </x:c>
      <x:c r="X85" s="11" t="str">
        <x:v>YJK；PKPM；OpenSees（均须保持题定一阶杆系假设；不代表当前接口已支持）</x:v>
      </x:c>
      <x:c r="Y85" s="18" t="str">
        <x:v>YJK</x:v>
      </x:c>
      <x:c r="Z85" s="11" t="str">
        <x:v>沿用旧题指定 YJK；建筑混凝土空间框架，考察楼层恒载差异和梁柱属性映射。</x:v>
      </x:c>
      <x:c r="AA85" s="11" t="str">
        <x:v>拟要求真实 YJK 原生建模和求解，并交付关联本题的项目、计算日志及原始结果；OpenSees 替代或仅生成兼容文件不能计作原生计算完成。</x:v>
      </x:c>
      <x:c r="AB85" s="11" t="str">
        <x:v>存在已知接口缺口</x:v>
      </x:c>
      <x:c r="AC85" s="11" t="str">
        <x:v>须验证或补齐题定两层 X 梁 30/25 kN/m 及 Y 梁不加载的逐梁映射；现有每类梁/柱单一材料截面要求须对照最终属性表，不能隐式合并。另须验收自重关闭、无刚性楼板、轴系/单位及题定工况到原生设置的映射；未实际运行。</x:v>
      </x:c>
      <x:c r="AD85" s="11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5" s="11" t="str">
        <x:v>拟保存（尚未生成）：YJK 版本、独立模型/项目标识、节点构件属性及荷载审计表、原生计算日志、原始结果文件；位移/端力/反力逐项关联模型、构件、工况与单位。</x:v>
      </x:c>
      <x:c r="AF85" s="11" t="str">
        <x:v>YJK；COMMON</x:v>
      </x:c>
    </x:row>
    <x:row r="86" ht="67.5" customHeight="1">
      <x:c r="A86" s="15" t="str">
        <x:v>STD-085</x:v>
      </x:c>
      <x:c r="B86" s="6" t="str">
        <x:v>标准工作流</x:v>
      </x:c>
      <x:c r="C86" s="19" t="str">
        <x:v>M-STD-085</x:v>
      </x:c>
      <x:c r="D86" s="6" t="str">
        <x:v>不等网格空间钢框架</x:v>
      </x:c>
      <x:c r="E86" s="6" t="str">
        <x:v>空间框架</x:v>
      </x:c>
      <x:c r="F86" s="19" t="str">
        <x:v>3D</x:v>
      </x:c>
      <x:c r="G86" s="6" t="str">
        <x:v>不规则空间网格</x:v>
      </x:c>
      <x:c r="H86" s="19" t="str">
        <x:v>L3</x:v>
      </x:c>
      <x:c r="I86" s="6" t="str">
        <x:v>不等X/Y跨与不等层高需累计成真实坐标，成员方向还影响荷载分组。</x:v>
      </x:c>
      <x:c r="J86" s="19" t="str">
        <x:v>中文</x:v>
      </x:c>
      <x:c r="K86" s="6" t="str">
        <x:v>完整文字任务 + 随题分析属性表（待编制）</x:v>
      </x:c>
      <x:c r="L86" s="23" t="n">
        <x:v>1</x:v>
      </x:c>
      <x:c r="M86" s="6" t="str">
        <x:v>X向4+7m、Y向3+6m，两层3.4、4.1m，显式梁连接表；完整属性按公共契约随题给出。 各柱脚固定；完整梁连接表中每根X梁10kN/m、Y梁6kN/m，仅给定梁加载。</x:v>
      </x:c>
      <x:c r="N86" s="6" t="str">
        <x:v>非规则网格和不等层高</x:v>
      </x:c>
      <x:c r="O86" s="6" t="str">
        <x:v>各层九节点三向位移、各柱列层间位移差、柱脚反力和长短跨梁端力。</x:v>
      </x:c>
      <x:c r="P86" s="6" t="str">
        <x:v>非规则网格和不等层高；指定位置/分量对照数值真值，输出文字与结构化结果保持符号、单位和工况一致。</x:v>
      </x:c>
      <x:c r="Q86" s="19" t="str">
        <x:v>新增</x:v>
      </x:c>
      <x:c r="R86" s="6" t="str">
        <x:v>无</x:v>
      </x:c>
      <x:c r="S86" s="6" t="str">
        <x:v>无</x:v>
      </x:c>
      <x:c r="T86" s="6" t="str">
        <x:v>新增工程场景；母模型、提示词和真值均待建立。</x:v>
      </x:c>
      <x:c r="U86" s="6" t="str">
        <x:v>拟在 YJK 中独立建模并人工审定输入、版本和分析设置，生成本题全部要求的位移/内力/反力同引擎标答；按实际构件长度计载，独立三维刚度解与节点/空间平衡复核。旧值仅作线索，不直接继承；跨引擎仅校核，不以 OpenSees 唯一判卷。尚未生成。</x:v>
      </x:c>
      <x:c r="V86" s="6" t="str">
        <x:v>基础工具；完整题面、参数/单位契约与真值待验证</x:v>
      </x:c>
      <x:c r="W86" s="6" t="str">
        <x:v>规划，待编题与验证</x:v>
      </x:c>
      <x:c r="X86" s="6" t="str">
        <x:v>YJK；PKPM；OpenSees（均须保持题定一阶杆系假设；不代表当前接口已支持）</x:v>
      </x:c>
      <x:c r="Y86" s="19" t="str">
        <x:v>YJK</x:v>
      </x:c>
      <x:c r="Z86" s="6" t="str">
        <x:v>建筑空间框架仍有完整柱网，但跨长、层高不等；用 YJK 检查建筑网格与实际尺寸映射，不因不等跨就改成一般杆系题。</x:v>
      </x:c>
      <x:c r="AA86" s="6" t="str">
        <x:v>拟要求真实 YJK 原生建模和求解，并交付关联本题的项目、计算日志及原始结果；OpenSees 替代或仅生成兼容文件不能计作原生计算完成。</x:v>
      </x:c>
      <x:c r="AB86" s="6" t="str">
        <x:v>存在已知接口缺口</x:v>
      </x:c>
      <x:c r="AC86" s="6" t="str">
        <x:v>现有规则网格入口需核验不等跨/层高，已知仅楼面 DL/LL 难以表达 X 梁 10、Y 梁 6 kN/m 的独立线载；须补逐梁荷载映射，不能调面载后假定等效。另须验收自重关闭、无刚性楼板、轴系/单位及题定工况到原生设置的映射；未实际运行。</x:v>
      </x:c>
      <x:c r="AD86" s="6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6" s="6" t="str">
        <x:v>拟保存（尚未生成）：YJK 版本、独立模型/项目标识、节点构件属性及荷载审计表、原生计算日志、原始结果文件；位移/端力/反力逐项关联模型、构件、工况与单位。</x:v>
      </x:c>
      <x:c r="AF86" s="6" t="str">
        <x:v>YJK；COMMON</x:v>
      </x:c>
    </x:row>
    <x:row r="87" ht="67.5" customHeight="1">
      <x:c r="A87" s="14" t="str">
        <x:v>STD-086</x:v>
      </x:c>
      <x:c r="B87" s="11" t="str">
        <x:v>标准工作流</x:v>
      </x:c>
      <x:c r="C87" s="18" t="str">
        <x:v>M-STD-086</x:v>
      </x:c>
      <x:c r="D87" s="11" t="str">
        <x:v>L形平面空间框架</x:v>
      </x:c>
      <x:c r="E87" s="11" t="str">
        <x:v>空间框架</x:v>
      </x:c>
      <x:c r="F87" s="18" t="str">
        <x:v>3D</x:v>
      </x:c>
      <x:c r="G87" s="11" t="str">
        <x:v>L形平面与缺失区域</x:v>
      </x:c>
      <x:c r="H87" s="18" t="str">
        <x:v>L3</x:v>
      </x:c>
      <x:c r="I87" s="11" t="str">
        <x:v>平面缺角使连接和加载区域均非矩形，不能补齐虚构构件或角区荷载。</x:v>
      </x:c>
      <x:c r="J87" s="18" t="str">
        <x:v>英文</x:v>
      </x:c>
      <x:c r="K87" s="11" t="str">
        <x:v>完整文字任务 + 随题分析属性表（待编制）</x:v>
      </x:c>
      <x:c r="L87" s="22" t="n">
        <x:v>1</x:v>
      </x:c>
      <x:c r="M87" s="11" t="str">
        <x:v>2乘2网格删去一个角部单元区域，两层3.6m，全部实际梁柱按表给出；完整属性按公共契约随题给出。 基本网格X=0/6/12m、Y=0/5/10m；右上角格区缺失，实际构件表为准，各存留梁8kN/m。</x:v>
      </x:c>
      <x:c r="N87" s="11" t="str">
        <x:v>不能补齐缺失角区与虚构楼面</x:v>
      </x:c>
      <x:c r="O87" s="11" t="str">
        <x:v>两层外角/内凹角节点三向位移、实际柱列层间位移差、各柱脚反力。</x:v>
      </x:c>
      <x:c r="P87" s="11" t="str">
        <x:v>不能补齐缺失角区与虚构楼面；指定位置/分量对照数值真值，输出文字与结构化结果保持符号、单位和工况一致。</x:v>
      </x:c>
      <x:c r="Q87" s="18" t="str">
        <x:v>新增</x:v>
      </x:c>
      <x:c r="R87" s="11" t="str">
        <x:v>无</x:v>
      </x:c>
      <x:c r="S87" s="11" t="str">
        <x:v>无</x:v>
      </x:c>
      <x:c r="T87" s="11" t="str">
        <x:v>新增工程场景；母模型、提示词和真值均待建立。</x:v>
      </x:c>
      <x:c r="U87" s="11" t="str">
        <x:v>拟在 PKPM 中独立建模并人工审定输入、版本和分析设置，生成本题全部要求的位移/内力/反力同引擎标答；审查缺角实际连接图、刚度秩和真实受载梁，再以独立杆系解与空间平衡复核。旧值仅作线索，不直接继承；跨引擎仅校核，不以 OpenSees 唯一判卷。尚未生成。</x:v>
      </x:c>
      <x:c r="V87" s="11" t="str">
        <x:v>不规则楼面荷载映射需验证；完整题面、参数/单位契约与真值待验证</x:v>
      </x:c>
      <x:c r="W87" s="11" t="str">
        <x:v>规划，待编题与验证</x:v>
      </x:c>
      <x:c r="X87" s="11" t="str">
        <x:v>YJK；PKPM；OpenSees（均须保持题定一阶杆系假设；不代表当前接口已支持）</x:v>
      </x:c>
      <x:c r="Y87" s="18" t="str">
        <x:v>PKPM</x:v>
      </x:c>
      <x:c r="Z87" s="11" t="str">
        <x:v>L 形建筑平面且两层平面重复，采用 PKPM 检查真实平面拓扑，保留缺角区域，不为接口补齐矩形建筑。</x:v>
      </x:c>
      <x:c r="AA87" s="11" t="str">
        <x:v>拟要求真实 PKPM 原生建模和求解，并交付关联本题的项目、计算日志及原始结果；OpenSees 替代或仅生成兼容文件不能计作原生计算完成。</x:v>
      </x:c>
      <x:c r="AB87" s="11" t="str">
        <x:v>存在已知接口缺口</x:v>
      </x:c>
      <x:c r="AC87" s="11" t="str">
        <x:v>重复楼层模板内的 L 形节点/连接表须逐项验收；仅楼面 DL/LL 的入口需补本题实际梁 8 kN/m 加载映射，结果读取器缺各柱脚节点反力。另须验收自重关闭、无刚性楼板、轴系/单位及题定工况到原生设置的映射；未实际运行。</x:v>
      </x:c>
      <x:c r="AD87" s="11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7" s="11" t="str">
        <x:v>拟保存（尚未生成）：PKPM 版本、独立模型/项目标识、节点构件属性及荷载审计表、原生计算日志、原始结果文件；位移/端力/反力逐项关联模型、构件、工况与单位。</x:v>
      </x:c>
      <x:c r="AF87" s="11" t="str">
        <x:v>PKPM；COMMON</x:v>
      </x:c>
    </x:row>
    <x:row r="88" ht="67.5" customHeight="1">
      <x:c r="A88" s="15" t="str">
        <x:v>STD-087</x:v>
      </x:c>
      <x:c r="B88" s="6" t="str">
        <x:v>标准工作流</x:v>
      </x:c>
      <x:c r="C88" s="19" t="str">
        <x:v>M-STD-087</x:v>
      </x:c>
      <x:c r="D88" s="6" t="str">
        <x:v>空间框架上层退台</x:v>
      </x:c>
      <x:c r="E88" s="6" t="str">
        <x:v>空间框架</x:v>
      </x:c>
      <x:c r="F88" s="19" t="str">
        <x:v>3D</x:v>
      </x:c>
      <x:c r="G88" s="6" t="str">
        <x:v>逐层不同空间柱网</x:v>
      </x:c>
      <x:c r="H88" s="19" t="str">
        <x:v>L3</x:v>
      </x:c>
      <x:c r="I88" s="6" t="str">
        <x:v>不同楼层的节点集和实际受荷区域不同，规则三维网格不能直接重复。</x:v>
      </x:c>
      <x:c r="J88" s="19" t="str">
        <x:v>中文</x:v>
      </x:c>
      <x:c r="K88" s="6" t="str">
        <x:v>完整文字任务 + 随题分析属性表（待编制）</x:v>
      </x:c>
      <x:c r="L88" s="23" t="n">
        <x:v>1</x:v>
      </x:c>
      <x:c r="M88" s="6" t="str">
        <x:v>下层2乘2跨、上层仅1乘2跨，给各层实际柱网和荷载作用区；完整属性按公共契约随题给出。 网格跨长X向6m、Y向5m；层高各3.6m，上层仅左半X区保留，所有实际楼层梁10kN/m。</x:v>
      </x:c>
      <x:c r="N88" s="6" t="str">
        <x:v>分层拓扑不同且楼面区域不同</x:v>
      </x:c>
      <x:c r="O88" s="6" t="str">
        <x:v>退台边节点和各层角点三向位移、逐柱列层间差、支反力与转接节点端力。</x:v>
      </x:c>
      <x:c r="P88" s="6" t="str">
        <x:v>分层拓扑不同且楼面区域不同；指定位置/分量对照数值真值，输出文字与结构化结果保持符号、单位和工况一致。</x:v>
      </x:c>
      <x:c r="Q88" s="19" t="str">
        <x:v>新增</x:v>
      </x:c>
      <x:c r="R88" s="6" t="str">
        <x:v>无</x:v>
      </x:c>
      <x:c r="S88" s="6" t="str">
        <x:v>无</x:v>
      </x:c>
      <x:c r="T88" s="6" t="str">
        <x:v>新增工程场景；母模型、提示词和真值均待建立。</x:v>
      </x:c>
      <x:c r="U88" s="6" t="str">
        <x:v>拟在 YJK 中独立建模并人工审定输入、版本和分析设置，生成本题全部要求的位移/内力/反力同引擎标答；审查退台各层实际连接和加载长度，以独立三维刚度解、秩检查及空间平衡复核。旧值仅作线索，不直接继承；跨引擎仅校核，不以 OpenSees 唯一判卷。尚未生成。</x:v>
      </x:c>
      <x:c r="V88" s="6" t="str">
        <x:v>不规则楼面荷载映射需验证；完整题面、参数/单位契约与真值待验证</x:v>
      </x:c>
      <x:c r="W88" s="6" t="str">
        <x:v>规划，待编题与验证</x:v>
      </x:c>
      <x:c r="X88" s="6" t="str">
        <x:v>YJK；PKPM；OpenSees（均须保持题定一阶杆系假设；不代表当前接口已支持）</x:v>
      </x:c>
      <x:c r="Y88" s="19" t="str">
        <x:v>YJK</x:v>
      </x:c>
      <x:c r="Z88" s="6" t="str">
        <x:v>退台建筑框架是有意义的原生建筑建模场景；即使当前接口有限，也应保留分层实际柱网作为待补能力。</x:v>
      </x:c>
      <x:c r="AA88" s="6" t="str">
        <x:v>拟要求真实 YJK 原生建模和求解，并交付关联本题的项目、计算日志及原始结果；OpenSees 替代或仅生成兼容文件不能计作原生计算完成。</x:v>
      </x:c>
      <x:c r="AB88" s="6" t="str">
        <x:v>存在已知接口缺口</x:v>
      </x:c>
      <x:c r="AC88" s="6" t="str">
        <x:v>现有 YJK 适配要求各层完整笛卡尔柱网及相邻梁柱，本题上层退台与之冲突；须支持分层拓扑和实际梁 10 kN/m 输入，不得补回缺失区域。另须验收自重关闭、无刚性楼板、轴系/单位及题定工况到原生设置的映射；未实际运行。</x:v>
      </x:c>
      <x:c r="AD88" s="6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8" s="6" t="str">
        <x:v>拟保存（尚未生成）：YJK 版本、独立模型/项目标识、节点构件属性及荷载审计表、原生计算日志、原始结果文件；位移/端力/反力逐项关联模型、构件、工况与单位。</x:v>
      </x:c>
      <x:c r="AF88" s="6" t="str">
        <x:v>YJK；COMMON</x:v>
      </x:c>
    </x:row>
    <x:row r="89" ht="67.5" customHeight="1">
      <x:c r="A89" s="14" t="str">
        <x:v>STD-088</x:v>
      </x:c>
      <x:c r="B89" s="11" t="str">
        <x:v>标准工作流</x:v>
      </x:c>
      <x:c r="C89" s="18" t="str">
        <x:v>M-STD-088</x:v>
      </x:c>
      <x:c r="D89" s="11" t="str">
        <x:v>双向节点侧力空间框架</x:v>
      </x:c>
      <x:c r="E89" s="11" t="str">
        <x:v>空间框架</x:v>
      </x:c>
      <x:c r="F89" s="18" t="str">
        <x:v>3D</x:v>
      </x:c>
      <x:c r="G89" s="11" t="str">
        <x:v>双向侧力与独立组合</x:v>
      </x:c>
      <x:c r="H89" s="18" t="str">
        <x:v>L3</x:v>
      </x:c>
      <x:c r="I89" s="11" t="str">
        <x:v>两个水平荷载分量和多个组合需独立保存，不能混成一个倾斜荷载工况。</x:v>
      </x:c>
      <x:c r="J89" s="18" t="str">
        <x:v>英文</x:v>
      </x:c>
      <x:c r="K89" s="11" t="str">
        <x:v>完整文字任务 + 随题分析属性表（待编制）</x:v>
      </x:c>
      <x:c r="L89" s="22" t="n">
        <x:v>1</x:v>
      </x:c>
      <x:c r="M89" s="11" t="str">
        <x:v>两层2乘1跨，重力与X/Y侧力分别给定，三个组合；完整属性按公共契约随题给出。 跨长X为6+6m、Y为5m，层高3.6m；D梁8kN/m，右后角逐层Wx=10/20kN、Wy=8/16kN；求D、D+Wx、D+Wy。</x:v>
      </x:c>
      <x:c r="N89" s="11" t="str">
        <x:v>两个水平分量及组合响应定位</x:v>
      </x:c>
      <x:c r="O89" s="11" t="str">
        <x:v>同一角点每层X/Y位移、各柱列双向层间差、柱脚反力向量及控制组合标识。</x:v>
      </x:c>
      <x:c r="P89" s="11" t="str">
        <x:v>两个水平分量及组合响应定位；指定位置/分量对照数值真值，输出文字与结构化结果保持符号、单位和工况一致。</x:v>
      </x:c>
      <x:c r="Q89" s="18" t="str">
        <x:v>新增</x:v>
      </x:c>
      <x:c r="R89" s="11" t="str">
        <x:v>无</x:v>
      </x:c>
      <x:c r="S89" s="11" t="str">
        <x:v>无</x:v>
      </x:c>
      <x:c r="T89" s="11" t="str">
        <x:v>新增工程场景；母模型、提示词和真值均待建立。</x:v>
      </x:c>
      <x:c r="U89" s="11" t="str">
        <x:v>拟在 YJK 中独立建模并人工审定输入、版本和分析设置，生成本题全部要求的位移/内力/反力同引擎标答；独立 D/Wx/Wy 杆系解和叠加，逐项复核双向基底剪力与倾覆力矩。旧值仅作线索，不直接继承；跨引擎仅校核，不以 OpenSees 唯一判卷。尚未生成。</x:v>
      </x:c>
      <x:c r="V89" s="11" t="str">
        <x:v>多组合执行契约需验证；完整题面、参数/单位契约与真值待验证</x:v>
      </x:c>
      <x:c r="W89" s="11" t="str">
        <x:v>规划，待编题与验证</x:v>
      </x:c>
      <x:c r="X89" s="11" t="str">
        <x:v>YJK；PKPM；OpenSees（均须保持题定一阶杆系假设；不代表当前接口已支持）</x:v>
      </x:c>
      <x:c r="Y89" s="18" t="str">
        <x:v>YJK</x:v>
      </x:c>
      <x:c r="Z89" s="11" t="str">
        <x:v>双向侧力建筑空间框架，原生计算需对应题定工况与组合；不将建筑软件能力缩为纯恒活载规则楼。</x:v>
      </x:c>
      <x:c r="AA89" s="11" t="str">
        <x:v>拟要求真实 YJK 原生建模和求解，并交付关联本题的项目、计算日志及原始结果；OpenSees 替代或仅生成兼容文件不能计作原生计算完成。</x:v>
      </x:c>
      <x:c r="AB89" s="11" t="str">
        <x:v>存在已知接口缺口</x:v>
      </x:c>
      <x:c r="AC89" s="11" t="str">
        <x:v>现有输入仅楼面 DL/LL，缺题定右后角逐层 X/Y 节点侧力；D、D+Wx、D+Wy 的显式组合映射未验证，须补输入和结果索引。另须验收自重关闭、无刚性楼板、轴系/单位及题定工况到原生设置的映射；未实际运行。</x:v>
      </x:c>
      <x:c r="AD89" s="11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89" s="11" t="str">
        <x:v>拟保存（尚未生成）：YJK 版本、独立模型/项目标识、节点构件属性及荷载审计表、原生计算日志、原始结果文件；位移/端力/反力逐项关联模型、构件、工况与单位。</x:v>
      </x:c>
      <x:c r="AF89" s="11" t="str">
        <x:v>YJK；COMMON</x:v>
      </x:c>
    </x:row>
    <x:row r="90" ht="67.5" customHeight="1">
      <x:c r="A90" s="15" t="str">
        <x:v>STD-089</x:v>
      </x:c>
      <x:c r="B90" s="6" t="str">
        <x:v>标准工作流</x:v>
      </x:c>
      <x:c r="C90" s="19" t="str">
        <x:v>M-STD-089</x:v>
      </x:c>
      <x:c r="D90" s="6" t="str">
        <x:v>边柱中柱角柱分组空间框架</x:v>
      </x:c>
      <x:c r="E90" s="6" t="str">
        <x:v>空间框架</x:v>
      </x:c>
      <x:c r="F90" s="19" t="str">
        <x:v>3D</x:v>
      </x:c>
      <x:c r="G90" s="6" t="str">
        <x:v>空间位置到成员组</x:v>
      </x:c>
      <x:c r="H90" s="19" t="str">
        <x:v>L3</x:v>
      </x:c>
      <x:c r="I90" s="6" t="str">
        <x:v>柱位置三类与梁方向两类共同决定属性，不能只按构件类型赋一个截面。</x:v>
      </x:c>
      <x:c r="J90" s="19" t="str">
        <x:v>中文</x:v>
      </x:c>
      <x:c r="K90" s="6" t="str">
        <x:v>完整文字任务 + 随题分析属性表（待编制）</x:v>
      </x:c>
      <x:c r="L90" s="23" t="n">
        <x:v>1</x:v>
      </x:c>
      <x:c r="M90" s="6" t="str">
        <x:v>两层2乘2跨，角柱/边柱/中柱三组截面，梁另分X/Y两组；完整属性按公共契约随题给出。 跨长X各6m、Y各5m，层高3.6m；所有梁8kN/m，屋顶右后角加X向20/Y向15kN。</x:v>
      </x:c>
      <x:c r="N90" s="6" t="str">
        <x:v>空间位置到构件组的映射</x:v>
      </x:c>
      <x:c r="O90" s="6" t="str">
        <x:v>角/边/中柱各代表端力，X/Y梁代表端力，屋顶九节点位移及各柱脚反力。</x:v>
      </x:c>
      <x:c r="P90" s="6" t="str">
        <x:v>空间位置到构件组的映射；指定位置/分量对照数值真值，输出文字与结构化结果保持符号、单位和工况一致。</x:v>
      </x:c>
      <x:c r="Q90" s="19" t="str">
        <x:v>新增</x:v>
      </x:c>
      <x:c r="R90" s="6" t="str">
        <x:v>无</x:v>
      </x:c>
      <x:c r="S90" s="6" t="str">
        <x:v>无</x:v>
      </x:c>
      <x:c r="T90" s="6" t="str">
        <x:v>新增工程场景；母模型、提示词和真值均待建立。</x:v>
      </x:c>
      <x:c r="U90" s="6" t="str">
        <x:v>拟在 PKPM 中独立建模并人工审定输入、版本和分析设置，生成本题全部要求的位移/内力/反力同引擎标答；独立逐成员 EA/EI/J 三维解、角边中柱/X-Y 梁属性分配和六分量平衡复核。旧值仅作线索，不直接继承；跨引擎仅校核，不以 OpenSees 唯一判卷。尚未生成。</x:v>
      </x:c>
      <x:c r="V90" s="6" t="str">
        <x:v>基础工具；完整题面、参数/单位契约与真值待验证</x:v>
      </x:c>
      <x:c r="W90" s="6" t="str">
        <x:v>规划，待编题与验证</x:v>
      </x:c>
      <x:c r="X90" s="6" t="str">
        <x:v>YJK；PKPM；OpenSees（均须保持题定一阶杆系假设；不代表当前接口已支持）</x:v>
      </x:c>
      <x:c r="Y90" s="19" t="str">
        <x:v>PKPM</x:v>
      </x:c>
      <x:c r="Z90" s="6" t="str">
        <x:v>重复楼层建筑框架，按角/边/中柱和 X/Y 梁分组体现工程属性表映射；不同构件组不因接入限制而合并。</x:v>
      </x:c>
      <x:c r="AA90" s="6" t="str">
        <x:v>拟要求真实 PKPM 原生建模和求解，并交付关联本题的项目、计算日志及原始结果；OpenSees 替代或仅生成兼容文件不能计作原生计算完成。</x:v>
      </x:c>
      <x:c r="AB90" s="6" t="str">
        <x:v>存在已知接口缺口</x:v>
      </x:c>
      <x:c r="AC90" s="6" t="str">
        <x:v>需验收逐构件多截面及楼层复用映射；现有仅楼面 DL/LL 不能覆盖屋顶角点 X/Y 侧力，需补逐梁/节点荷载；结果读取器缺各柱脚节点反力。另须验收自重关闭、无刚性楼板、轴系/单位及题定工况到原生设置的映射；未实际运行。</x:v>
      </x:c>
      <x:c r="AD90" s="6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90" s="6" t="str">
        <x:v>拟保存（尚未生成）：PKPM 版本、独立模型/项目标识、节点构件属性及荷载审计表、原生计算日志、原始结果文件；位移/端力/反力逐项关联模型、构件、工况与单位。</x:v>
      </x:c>
      <x:c r="AF90" s="6" t="str">
        <x:v>PKPM；COMMON</x:v>
      </x:c>
    </x:row>
    <x:row r="91" ht="54" customHeight="1">
      <x:c r="A91" s="14" t="str">
        <x:v>STD-090</x:v>
      </x:c>
      <x:c r="B91" s="11" t="str">
        <x:v>标准工作流</x:v>
      </x:c>
      <x:c r="C91" s="18" t="str">
        <x:v>M-STD-090</x:v>
      </x:c>
      <x:c r="D91" s="11" t="str">
        <x:v>局部柱轴旋转的空间框架</x:v>
      </x:c>
      <x:c r="E91" s="11" t="str">
        <x:v>空间框架</x:v>
      </x:c>
      <x:c r="F91" s="18" t="str">
        <x:v>3D</x:v>
      </x:c>
      <x:c r="G91" s="11" t="str">
        <x:v>局部轴旋转与双向刚度</x:v>
      </x:c>
      <x:c r="H91" s="18" t="str">
        <x:v>L3</x:v>
      </x:c>
      <x:c r="I91" s="11" t="str">
        <x:v>空间柱的截面强弱轴、指定构件集合和双向侧力联合，错误旋转会改变整体分配。</x:v>
      </x:c>
      <x:c r="J91" s="18" t="str">
        <x:v>英文</x:v>
      </x:c>
      <x:c r="K91" s="11" t="str">
        <x:v>完整文字任务 + 随题分析属性表（待编制）</x:v>
      </x:c>
      <x:c r="L91" s="22" t="n">
        <x:v>1</x:v>
      </x:c>
      <x:c r="M91" s="11" t="str">
        <x:v>两层1乘2跨，指定矩形截面柱局部轴转90度，其余不变，双向侧力；完整属性按公共契约随题给出。 X跨6m、Y两跨各5m、层高3.6m；只将Y=0m的两根柱线局部轴转90°，屋顶节点(6,10,7.2)m受X向20/Y向15kN。</x:v>
      </x:c>
      <x:c r="N91" s="11" t="str">
        <x:v>局部轴与强弱向刚度不能混淆</x:v>
      </x:c>
      <x:c r="O91" s="11" t="str">
        <x:v>受力角点X/Y位移、旋转柱与未转柱端力、各柱脚反力及局部轴记录。</x:v>
      </x:c>
      <x:c r="P91" s="11" t="str">
        <x:v>局部轴与强弱向刚度不能混淆；指定位置/分量对照数值真值，输出文字与结构化结果保持符号、单位和工况一致。</x:v>
      </x:c>
      <x:c r="Q91" s="18" t="str">
        <x:v>新增</x:v>
      </x:c>
      <x:c r="R91" s="11" t="str">
        <x:v>无</x:v>
      </x:c>
      <x:c r="S91" s="11" t="str">
        <x:v>无</x:v>
      </x:c>
      <x:c r="T91" s="11" t="str">
        <x:v>新增工程场景；母模型、提示词和真值均待建立。</x:v>
      </x:c>
      <x:c r="U91" s="11" t="str">
        <x:v>拟建立独立审定的 OpenSees 模型及同版本/同设置参考结果；独立局部-全局变换三维解；90°交换主惯性矩的等价性与空间平衡复核。 参考值尚未生成。 所有题定输出均须覆盖，校核实现不复用被测转换链路。</x:v>
      </x:c>
      <x:c r="V91" s="11" t="str">
        <x:v>局部轴输入与适配需验证；完整题面、参数/单位契约与真值待验证</x:v>
      </x:c>
      <x:c r="W91" s="11" t="str">
        <x:v>规划，待编题与验证</x:v>
      </x:c>
      <x:c r="X91" s="11" t="str">
        <x:v>OpenSees；YJK/PKPM（软件场景可相关，当前题定机制与接入能力须另核验）</x:v>
      </x:c>
      <x:c r="Y91" s="18" t="str">
        <x:v>OpenSees</x:v>
      </x:c>
      <x:c r="Z91" s="11" t="str">
        <x:v>当前侧重空间杆系的局部轴、坐标变换或混合单元机制，采用 OpenSees 直接核验。 本题重点：局部轴与强弱向刚度不能混淆。</x:v>
      </x:c>
      <x:c r="AA91" s="11" t="str">
        <x:v>拟要求真实 OpenSees 求解，保存输入与原始结果的对应关系；解析式/独立矩阵解用于校核，不能替代规定引擎执行证据。</x:v>
      </x:c>
      <x:c r="AB91" s="11" t="str">
        <x:v>待逐题验证</x:v>
      </x:c>
      <x:c r="AC91" s="11" t="str">
        <x:v>局部轴 90° 旋转、主惯性矩及双向节点力的空间响应须验证。 当前无据认定接口不支持；需实际能力测试后确定，不将未验证能力记为模型失败。</x:v>
      </x:c>
      <x:c r="AD9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91" s="11" t="str">
        <x:v>拟保存（尚未生成）：OpenSees 版本、可运行模型/脚本、节点构件和荷载表、实际计算日志、原始结果与工况索引、平衡/独立解校核记录。</x:v>
      </x:c>
      <x:c r="AF91" s="11" t="str">
        <x:v>OPS；COMMON</x:v>
      </x:c>
    </x:row>
    <x:row r="92" ht="67.5" customHeight="1">
      <x:c r="A92" s="15" t="str">
        <x:v>STD-091</x:v>
      </x:c>
      <x:c r="B92" s="6" t="str">
        <x:v>标准工作流</x:v>
      </x:c>
      <x:c r="C92" s="19" t="str">
        <x:v>M-STD-091</x:v>
      </x:c>
      <x:c r="D92" s="6" t="str">
        <x:v>仅一个楼面分区加载</x:v>
      </x:c>
      <x:c r="E92" s="6" t="str">
        <x:v>空间框架</x:v>
      </x:c>
      <x:c r="F92" s="19" t="str">
        <x:v>3D</x:v>
      </x:c>
      <x:c r="G92" s="6" t="str">
        <x:v>空间分区活载</x:v>
      </x:c>
      <x:c r="H92" s="19" t="str">
        <x:v>L3</x:v>
      </x:c>
      <x:c r="I92" s="6" t="str">
        <x:v>荷载区域需要同时识别楼层、空间位置和边界成员，不能向全层铺载。</x:v>
      </x:c>
      <x:c r="J92" s="19" t="str">
        <x:v>中文</x:v>
      </x:c>
      <x:c r="K92" s="6" t="str">
        <x:v>完整文字任务 + 随题分析属性表（待编制）</x:v>
      </x:c>
      <x:c r="L92" s="23" t="n">
        <x:v>1</x:v>
      </x:c>
      <x:c r="M92" s="6" t="str">
        <x:v>两层2乘2跨，D全部梁线载，L只指定矩形分区边界梁，分配规则明示；完整属性按公共契约随题给出。 网格X=0/6/12m、Y=0/5/10m，两层3.6m；D各梁8kN/m，L只顶层左前格四条边梁各6kN/m，求D、D+L。</x:v>
      </x:c>
      <x:c r="N92" s="6" t="str">
        <x:v>空间荷载作用区域与重复加载</x:v>
      </x:c>
      <x:c r="O92" s="6" t="str">
        <x:v>加载格角点与对角格节点位移、四条加载梁端力、柱脚反力和组合索引。</x:v>
      </x:c>
      <x:c r="P92" s="6" t="str">
        <x:v>空间荷载作用区域与重复加载；指定位置/分量对照数值真值，输出文字与结构化结果保持符号、单位和工况一致。</x:v>
      </x:c>
      <x:c r="Q92" s="19" t="str">
        <x:v>新增</x:v>
      </x:c>
      <x:c r="R92" s="6" t="str">
        <x:v>无</x:v>
      </x:c>
      <x:c r="S92" s="6" t="str">
        <x:v>无</x:v>
      </x:c>
      <x:c r="T92" s="6" t="str">
        <x:v>新增工程场景；母模型、提示词和真值均待建立。</x:v>
      </x:c>
      <x:c r="U92" s="6" t="str">
        <x:v>拟在 PKPM 中独立建模并人工审定输入、版本和分析设置，生成本题全部要求的位移/内力/反力同引擎标答；枚举顶层 L 的四根加载梁；独立杆系解、合力/力矩和 D+L 叠加复核。旧值仅作线索，不直接继承；跨引擎仅校核，不以 OpenSees 唯一判卷。尚未生成。</x:v>
      </x:c>
      <x:c r="V92" s="6" t="str">
        <x:v>多工况/多组合执行及结果索引需验证；完整题面、参数/单位契约与真值待验证</x:v>
      </x:c>
      <x:c r="W92" s="6" t="str">
        <x:v>规划，待编题与验证</x:v>
      </x:c>
      <x:c r="X92" s="6" t="str">
        <x:v>YJK；PKPM；OpenSees（均须保持题定一阶杆系假设；不代表当前接口已支持）</x:v>
      </x:c>
      <x:c r="Y92" s="19" t="str">
        <x:v>PKPM</x:v>
      </x:c>
      <x:c r="Z92" s="6" t="str">
        <x:v>建筑楼面局部分区加载，采用 PKPM 考察指定梁集合、独立工况和原生交付，保留题定四边梁荷载定义。</x:v>
      </x:c>
      <x:c r="AA92" s="6" t="str">
        <x:v>拟要求真实 PKPM 原生建模和求解，并交付关联本题的项目、计算日志及原始结果；OpenSees 替代或仅生成兼容文件不能计作原生计算完成。</x:v>
      </x:c>
      <x:c r="AB92" s="6" t="str">
        <x:v>存在已知接口缺口</x:v>
      </x:c>
      <x:c r="AC92" s="6" t="str">
        <x:v>现有楼面 DL/LL 入口不能直接替代顶层指定四边梁的局部 L；须补逐构件荷载、D 与 D+L 显式组合及索引；结果读取器缺柱脚节点反力。另须验收自重关闭、无刚性楼板、轴系/单位及题定工况到原生设置的映射；未实际运行。</x:v>
      </x:c>
      <x:c r="AD92" s="6" t="str">
        <x:v>保留题定几何、材料截面、边界、全部目标输出及一阶线弹性静力；自重关闭，不新增刚性楼板、刚域或默认组合。梁线载/单向受荷宽度严格按题，禁止自动双向传载或面线载叠加；原生 DL/LL、坐标轴、单位、工况/组合须有显式对应。</x:v>
      </x:c>
      <x:c r="AE92" s="6" t="str">
        <x:v>拟保存（尚未生成）：PKPM 版本、独立模型/项目标识、节点构件属性及荷载审计表、原生计算日志、原始结果文件；位移/端力/反力逐项关联模型、构件、工况与单位。</x:v>
      </x:c>
      <x:c r="AF92" s="6" t="str">
        <x:v>PKPM；COMMON</x:v>
      </x:c>
    </x:row>
    <x:row r="93" ht="54" customHeight="1">
      <x:c r="A93" s="14" t="str">
        <x:v>STD-092</x:v>
      </x:c>
      <x:c r="B93" s="11" t="str">
        <x:v>标准工作流</x:v>
      </x:c>
      <x:c r="C93" s="18" t="str">
        <x:v>M-STD-092</x:v>
      </x:c>
      <x:c r="D93" s="11" t="str">
        <x:v>斜屋盖空间框架</x:v>
      </x:c>
      <x:c r="E93" s="11" t="str">
        <x:v>空间框架</x:v>
      </x:c>
      <x:c r="F93" s="18" t="str">
        <x:v>3D</x:v>
      </x:c>
      <x:c r="G93" s="11" t="str">
        <x:v>空间斜屋盖与全局加载</x:v>
      </x:c>
      <x:c r="H93" s="18" t="str">
        <x:v>L3</x:v>
      </x:c>
      <x:c r="I93" s="11" t="str">
        <x:v>三维标高使部分梁倾斜，真实杆长和全局竖向力不能按水平平面处理。</x:v>
      </x:c>
      <x:c r="J93" s="18" t="str">
        <x:v>英文</x:v>
      </x:c>
      <x:c r="K93" s="11" t="str">
        <x:v>完整文字任务 + 随题分析属性表（待编制）</x:v>
      </x:c>
      <x:c r="L93" s="22" t="n">
        <x:v>1</x:v>
      </x:c>
      <x:c r="M93" s="11" t="str">
        <x:v>单层2乘1跨，屋面一侧高6m另一侧8m，坡梁按实际长度竖向加载；完整属性按公共契约随题给出。 X跨6+6m、Y跨5m，Y=0侧高6m、Y=5侧高8m；各屋面梁按实际长度向下5kN/m。</x:v>
      </x:c>
      <x:c r="N93" s="11" t="str">
        <x:v>三维斜梁连接与荷载投影</x:v>
      </x:c>
      <x:c r="O93" s="11" t="str">
        <x:v>四角及坡面中线节点三向位移、斜梁端力、所有柱脚反力。</x:v>
      </x:c>
      <x:c r="P93" s="11" t="str">
        <x:v>三维斜梁连接与荷载投影；指定位置/分量对照数值真值，输出文字与结构化结果保持符号、单位和工况一致。</x:v>
      </x:c>
      <x:c r="Q93" s="18" t="str">
        <x:v>新增</x:v>
      </x:c>
      <x:c r="R93" s="11" t="str">
        <x:v>无</x:v>
      </x:c>
      <x:c r="S93" s="11" t="str">
        <x:v>无</x:v>
      </x:c>
      <x:c r="T93" s="11" t="str">
        <x:v>新增工程场景；母模型、提示词和真值均待建立。</x:v>
      </x:c>
      <x:c r="U93" s="11" t="str">
        <x:v>拟建立独立审定的 OpenSees 模型及同版本/同设置参考结果；独立三维坐标变换解；按真实长度逐梁算总载并核验空间力矩。 参考值尚未生成。 所有题定输出均须覆盖，校核实现不复用被测转换链路。</x:v>
      </x:c>
      <x:c r="V93" s="11" t="str">
        <x:v>斜杆荷载与局部轴需验证；完整题面、参数/单位契约与真值待验证</x:v>
      </x:c>
      <x:c r="W93" s="11" t="str">
        <x:v>规划，待编题与验证</x:v>
      </x:c>
      <x:c r="X93" s="11" t="str">
        <x:v>OpenSees；YJK/PKPM（软件场景可相关，当前题定机制与接入能力须另核验）</x:v>
      </x:c>
      <x:c r="Y93" s="18" t="str">
        <x:v>OpenSees</x:v>
      </x:c>
      <x:c r="Z93" s="11" t="str">
        <x:v>当前侧重空间杆系的局部轴、坐标变换或混合单元机制，采用 OpenSees 直接核验。 本题重点：三维斜梁连接与荷载投影。</x:v>
      </x:c>
      <x:c r="AA93" s="11" t="str">
        <x:v>拟要求真实 OpenSees 求解，保存输入与原始结果的对应关系；解析式/独立矩阵解用于校核，不能替代规定引擎执行证据。</x:v>
      </x:c>
      <x:c r="AB93" s="11" t="str">
        <x:v>待逐题验证</x:v>
      </x:c>
      <x:c r="AC93" s="11" t="str">
        <x:v>空间坡梁实际长度线载、全局方向及三维端力转换须验证。 当前无据认定接口不支持；需实际能力测试后确定，不将未验证能力记为模型失败。</x:v>
      </x:c>
      <x:c r="AD93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93" s="11" t="str">
        <x:v>拟保存（尚未生成）：OpenSees 版本、可运行模型/脚本、节点构件和荷载表、实际计算日志、原始结果与工况索引、平衡/独立解校核记录。</x:v>
      </x:c>
      <x:c r="AF93" s="11" t="str">
        <x:v>OPS；COMMON</x:v>
      </x:c>
    </x:row>
    <x:row r="94" ht="67.5" customHeight="1">
      <x:c r="A94" s="15" t="str">
        <x:v>STD-093</x:v>
      </x:c>
      <x:c r="B94" s="6" t="str">
        <x:v>标准工作流</x:v>
      </x:c>
      <x:c r="C94" s="19" t="str">
        <x:v>M-STD-093</x:v>
      </x:c>
      <x:c r="D94" s="6" t="str">
        <x:v>局部空间支撑框架</x:v>
      </x:c>
      <x:c r="E94" s="6" t="str">
        <x:v>空间框架</x:v>
      </x:c>
      <x:c r="F94" s="19" t="str">
        <x:v>3D</x:v>
      </x:c>
      <x:c r="G94" s="6" t="str">
        <x:v>指定立面的空间支撑</x:v>
      </x:c>
      <x:c r="H94" s="19" t="str">
        <x:v>L3</x:v>
      </x:c>
      <x:c r="I94" s="6" t="str">
        <x:v>斜撑所在立面和混合单元决定两方向侧向刚度，不能复制支撑到其他面。</x:v>
      </x:c>
      <x:c r="J94" s="19" t="str">
        <x:v>中文</x:v>
      </x:c>
      <x:c r="K94" s="6" t="str">
        <x:v>完整文字任务 + 随题分析属性表（待编制）</x:v>
      </x:c>
      <x:c r="L94" s="23" t="n">
        <x:v>1</x:v>
      </x:c>
      <x:c r="M94" s="6" t="str">
        <x:v>两层1乘1跨，仅一侧立面设轴力斜撑，其他面刚接梁柱，双向荷载；完整属性按公共契约随题给出。 X跨6m、Y跨5m，层高3.6m；仅Y=0立面每层一根轴力斜撑，所有梁8kN/m，屋顶右后角X/Y各20kN。 两根斜撑分别从(0,0,0)到(6,0,3.6)m、从(0,0,3.6)到(6,0,7.2)m。</x:v>
      </x:c>
      <x:c r="N94" s="6" t="str">
        <x:v>立面位置与混合单元类型</x:v>
      </x:c>
      <x:c r="O94" s="6" t="str">
        <x:v>屋顶四角X/Y位移、两支撑轴力、梁柱端力及各柱脚反力。</x:v>
      </x:c>
      <x:c r="P94" s="6" t="str">
        <x:v>立面位置与混合单元类型；指定位置/分量对照数值真值，输出文字与结构化结果保持符号、单位和工况一致。</x:v>
      </x:c>
      <x:c r="Q94" s="19" t="str">
        <x:v>新增</x:v>
      </x:c>
      <x:c r="R94" s="6" t="str">
        <x:v>无</x:v>
      </x:c>
      <x:c r="S94" s="6" t="str">
        <x:v>无</x:v>
      </x:c>
      <x:c r="T94" s="6" t="str">
        <x:v>新增工程场景；母模型、提示词和真值均待建立。</x:v>
      </x:c>
      <x:c r="U94" s="6" t="str">
        <x:v>拟建立独立审定的 OpenSees 模型及同版本/同设置参考结果；独立梁/杆混合三维矩阵解与秩检查；支撑只输出轴力，节点六分量平衡复核。 参考值尚未生成。 所有题定输出均须覆盖，校核实现不复用被测转换链路。</x:v>
      </x:c>
      <x:c r="V94" s="6" t="str">
        <x:v>混合单元工具链需验证；完整题面、参数/单位契约与真值待验证</x:v>
      </x:c>
      <x:c r="W94" s="6" t="str">
        <x:v>规划，待编题与验证</x:v>
      </x:c>
      <x:c r="X94" s="6" t="str">
        <x:v>OpenSees；YJK/PKPM（软件场景可相关，当前题定机制与接入能力须另核验）</x:v>
      </x:c>
      <x:c r="Y94" s="19" t="str">
        <x:v>OpenSees</x:v>
      </x:c>
      <x:c r="Z94" s="6" t="str">
        <x:v>当前侧重空间杆系的局部轴、坐标变换或混合单元机制，采用 OpenSees 直接核验。 本题重点：立面位置与混合单元类型。</x:v>
      </x:c>
      <x:c r="AA94" s="6" t="str">
        <x:v>拟要求真实 OpenSees 求解，保存输入与原始结果的对应关系；解析式/独立矩阵解用于校核，不能替代规定引擎执行证据。</x:v>
      </x:c>
      <x:c r="AB94" s="6" t="str">
        <x:v>待逐题验证</x:v>
      </x:c>
      <x:c r="AC94" s="6" t="str">
        <x:v>空间梁柱/轴力斜撑混合单元、端铰表达及约束后刚度秩须验证。 当前无据认定接口不支持；需实际能力测试后确定，不将未验证能力记为模型失败。</x:v>
      </x:c>
      <x:c r="AD94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 梁柱与仅轴力斜撑分别建模，交叉及端铰按题。</x:v>
      </x:c>
      <x:c r="AE94" s="6" t="str">
        <x:v>拟保存（尚未生成）：OpenSees 版本、可运行模型/脚本、节点构件和荷载表、实际计算日志、原始结果与工况索引、平衡/独立解校核记录。</x:v>
      </x:c>
      <x:c r="AF94" s="6" t="str">
        <x:v>OPS；COMMON</x:v>
      </x:c>
    </x:row>
    <x:row r="95" ht="54" customHeight="1">
      <x:c r="A95" s="14" t="str">
        <x:v>STD-094</x:v>
      </x:c>
      <x:c r="B95" s="11" t="str">
        <x:v>标准工作流</x:v>
      </x:c>
      <x:c r="C95" s="18" t="str">
        <x:v>M-STD-094</x:v>
      </x:c>
      <x:c r="D95" s="11" t="str">
        <x:v>坐标轴置换的非规则空间框架</x:v>
      </x:c>
      <x:c r="E95" s="11" t="str">
        <x:v>空间框架</x:v>
      </x:c>
      <x:c r="F95" s="18" t="str">
        <x:v>3D</x:v>
      </x:c>
      <x:c r="G95" s="11" t="str">
        <x:v>坐标置换与荷载向量</x:v>
      </x:c>
      <x:c r="H95" s="18" t="str">
        <x:v>L3</x:v>
      </x:c>
      <x:c r="I95" s="11" t="str">
        <x:v>几何、约束、局部轴和荷载都要按同一右手坐标变换，不能只改节点坐标。</x:v>
      </x:c>
      <x:c r="J95" s="18" t="str">
        <x:v>英文</x:v>
      </x:c>
      <x:c r="K95" s="11" t="str">
        <x:v>完整文字任务 + 随题分析属性表（待编制）</x:v>
      </x:c>
      <x:c r="L95" s="22" t="n">
        <x:v>1</x:v>
      </x:c>
      <x:c r="M95" s="11" t="str">
        <x:v>给源坐标Y向上与到全局Z向上的明确映射，非等跨两层，荷载向量按源轴给定；完整属性按公共契约随题给出。 源Y向上，明示映射全局(X,Y,Z)=(源X,-源Z,源Y)；源水平跨6+4m与5m，两层3/4m，载荷作用于源坐标(10,7,5)m顶角，力向量源(20,-30,10)kN。</x:v>
      </x:c>
      <x:c r="N95" s="11" t="str">
        <x:v>几何、约束和荷载必须一致变换</x:v>
      </x:c>
      <x:c r="O95" s="11" t="str">
        <x:v>指定顶角的源/全局位移分量、全局支反力与代表杆端力；附变换后的坐标和载荷表。</x:v>
      </x:c>
      <x:c r="P95" s="11" t="str">
        <x:v>几何、约束和荷载必须一致变换；指定位置/分量对照数值真值，输出文字与结构化结果保持符号、单位和工况一致。</x:v>
      </x:c>
      <x:c r="Q95" s="18" t="str">
        <x:v>新增</x:v>
      </x:c>
      <x:c r="R95" s="11" t="str">
        <x:v>无</x:v>
      </x:c>
      <x:c r="S95" s="11" t="str">
        <x:v>无</x:v>
      </x:c>
      <x:c r="T95" s="11" t="str">
        <x:v>新增工程场景；母模型、提示词和真值均待建立。</x:v>
      </x:c>
      <x:c r="U95" s="11" t="str">
        <x:v>拟建立独立审定的 OpenSees 模型及同版本/同设置参考结果；以两套坐标独立建立同物理框架；比对经正交变换后的位移/反力和空间平衡。 参考值尚未生成。 所有题定输出均须覆盖，校核实现不复用被测转换链路。</x:v>
      </x:c>
      <x:c r="V95" s="11" t="str">
        <x:v>坐标转换协议需验证；完整题面、参数/单位契约与真值待验证</x:v>
      </x:c>
      <x:c r="W95" s="11" t="str">
        <x:v>规划，待编题与验证</x:v>
      </x:c>
      <x:c r="X95" s="11" t="str">
        <x:v>OpenSees；YJK/PKPM（软件场景可相关，当前题定机制与接入能力须另核验）</x:v>
      </x:c>
      <x:c r="Y95" s="18" t="str">
        <x:v>OpenSees</x:v>
      </x:c>
      <x:c r="Z95" s="11" t="str">
        <x:v>当前侧重空间杆系的局部轴、坐标变换或混合单元机制，采用 OpenSees 直接核验。 本题重点：几何、约束和荷载必须一致变换。</x:v>
      </x:c>
      <x:c r="AA95" s="11" t="str">
        <x:v>拟要求真实 OpenSees 求解，保存输入与原始结果的对应关系；解析式/独立矩阵解用于校核，不能替代规定引擎执行证据。</x:v>
      </x:c>
      <x:c r="AB95" s="11" t="str">
        <x:v>待逐题验证</x:v>
      </x:c>
      <x:c r="AC95" s="11" t="str">
        <x:v>源到全局右手正交变换须同时作用于坐标、约束、力与结果，不能仅旋转几何。 当前无据认定接口不支持；需实际能力测试后确定，不将未验证能力记为模型失败。</x:v>
      </x:c>
      <x:c r="AD95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95" s="11" t="str">
        <x:v>拟保存（尚未生成）：OpenSees 版本、可运行模型/脚本、节点构件和荷载表、实际计算日志、原始结果与工况索引、平衡/独立解校核记录。</x:v>
      </x:c>
      <x:c r="AF95" s="11" t="str">
        <x:v>OPS；COMMON</x:v>
      </x:c>
    </x:row>
    <x:row r="96" ht="54" customHeight="1">
      <x:c r="A96" s="15" t="str">
        <x:v>STD-095</x:v>
      </x:c>
      <x:c r="B96" s="6" t="str">
        <x:v>标准工作流</x:v>
      </x:c>
      <x:c r="C96" s="19" t="str">
        <x:v>M-STD-095</x:v>
      </x:c>
      <x:c r="D96" s="6" t="str">
        <x:v>混凝土柱纯轴压</x:v>
      </x:c>
      <x:c r="E96" s="6" t="str">
        <x:v>柱</x:v>
      </x:c>
      <x:c r="F96" s="19" t="str">
        <x:v>2D</x:v>
      </x:c>
      <x:c r="G96" s="6" t="str">
        <x:v>基础轴向压缩</x:v>
      </x:c>
      <x:c r="H96" s="19" t="str">
        <x:v>L1</x:v>
      </x:c>
      <x:c r="I96" s="6" t="str">
        <x:v>单杆轴向受力和约束直接给定，明确输入即可建模。</x:v>
      </x:c>
      <x:c r="J96" s="19" t="str">
        <x:v>中文</x:v>
      </x:c>
      <x:c r="K96" s="6" t="str">
        <x:v>完整文字任务 + 随题分析属性表（待编制）</x:v>
      </x:c>
      <x:c r="L96" s="23" t="n">
        <x:v>1</x:v>
      </x:c>
      <x:c r="M96" s="6" t="str">
        <x:v>高4.5m、400×400mm，柱底固定，柱顶向下500kN；完整属性按公共契约随题给出。 给C30完整弹性属性，底固定且顶无横向约束；只报告一阶轴压响应。</x:v>
      </x:c>
      <x:c r="N96" s="6" t="str">
        <x:v>轴压方向与材料截面</x:v>
      </x:c>
      <x:c r="O96" s="6" t="str">
        <x:v>柱顶竖向位移、柱轴力、柱底竖向反力，附压缩符号说明。</x:v>
      </x:c>
      <x:c r="P96" s="6" t="str">
        <x:v>轴压方向与材料截面；指定位置/分量对照数值真值，输出文字与结构化结果保持符号、单位和工况一致。</x:v>
      </x:c>
      <x:c r="Q96" s="19" t="str">
        <x:v>旧题改编</x:v>
      </x:c>
      <x:c r="R96" s="6" t="str">
        <x:v>independent-column-static</x:v>
      </x:c>
      <x:c r="S96" s="6" t="str">
        <x:v>无</x:v>
      </x:c>
      <x:c r="T96" s="6" t="str">
        <x:v>保留旧题主要几何与荷载，显式补齐单位、自重、观测位置和结果评分；新契约下须重新核验真值。</x:v>
      </x:c>
      <x:c r="U96" s="6" t="str">
        <x:v>拟建立独立审定的 OpenSees 模型及同版本/同设置参考结果；轴向缩短PL/EA解析式与轴向平衡；横向响应为零作辅助检查。 参考值尚未生成。 所有题定输出均须覆盖，校核实现不复用被测转换链路。</x:v>
      </x:c>
      <x:c r="V96" s="6" t="str">
        <x:v>基础工具；完整题面、参数/单位契约与真值待验证</x:v>
      </x:c>
      <x:c r="W96" s="6" t="str">
        <x:v>规划，待编题与验证</x:v>
      </x:c>
      <x:c r="X96" s="6" t="str">
        <x:v>OpenSees</x:v>
      </x:c>
      <x:c r="Y96" s="19" t="str">
        <x:v>OpenSees</x:v>
      </x:c>
      <x:c r="Z96" s="6" t="str">
        <x:v>独立柱或柱短臂的杆系响应核验，采用 OpenSees，不扩成建筑单元。 本题重点：轴压方向与材料截面。</x:v>
      </x:c>
      <x:c r="AA96" s="6" t="str">
        <x:v>拟要求真实 OpenSees 求解，保存输入与原始结果的对应关系；解析式/独立矩阵解用于校核，不能替代规定引擎执行证据。</x:v>
      </x:c>
      <x:c r="AB96" s="6" t="str">
        <x:v>待逐题验证</x:v>
      </x:c>
      <x:c r="AC96" s="6" t="str">
        <x:v>逐题核验轴压方向与材料截面；输入、结果分量/位置及数值标答尚未完成验收。 当前无据认定接口不支持；需实际能力测试后确定，不将未验证能力记为模型失败。</x:v>
      </x:c>
      <x:c r="AD96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96" s="6" t="str">
        <x:v>拟保存（尚未生成）：OpenSees 版本、可运行模型/脚本、节点构件和荷载表、实际计算日志、原始结果与工况索引、平衡/独立解校核记录。</x:v>
      </x:c>
      <x:c r="AF96" s="6" t="str">
        <x:v>OPS；COMMON</x:v>
      </x:c>
    </x:row>
    <x:row r="97" ht="54" customHeight="1">
      <x:c r="A97" s="14" t="str">
        <x:v>STD-096</x:v>
      </x:c>
      <x:c r="B97" s="11" t="str">
        <x:v>标准工作流</x:v>
      </x:c>
      <x:c r="C97" s="18" t="str">
        <x:v>M-STD-096</x:v>
      </x:c>
      <x:c r="D97" s="11" t="str">
        <x:v>混凝土柱轴压加水平力</x:v>
      </x:c>
      <x:c r="E97" s="11" t="str">
        <x:v>柱</x:v>
      </x:c>
      <x:c r="F97" s="18" t="str">
        <x:v>2D</x:v>
      </x:c>
      <x:c r="G97" s="11" t="str">
        <x:v>轴压与单向弯曲</x:v>
      </x:c>
      <x:c r="H97" s="18" t="str">
        <x:v>L2</x:v>
      </x:c>
      <x:c r="I97" s="11" t="str">
        <x:v>两个力分量分别对应轴向与弯曲响应，需正确映射自由度和结果分量。</x:v>
      </x:c>
      <x:c r="J97" s="18" t="str">
        <x:v>英文</x:v>
      </x:c>
      <x:c r="K97" s="11" t="str">
        <x:v>完整文字任务 + 随题分析属性表（待编制）</x:v>
      </x:c>
      <x:c r="L97" s="22" t="n">
        <x:v>1</x:v>
      </x:c>
      <x:c r="M97" s="11" t="str">
        <x:v>高4.2m、450×450mm，底固定，顶向下600kN及X向30kN，一阶弹性；完整属性按公共契约随题给出。 轴压600kN与水平30kN都在柱顶，明确一阶弹性、不启用P-Delta。</x:v>
      </x:c>
      <x:c r="N97" s="11" t="str">
        <x:v>轴向和侧向分量分开</x:v>
      </x:c>
      <x:c r="O97" s="11" t="str">
        <x:v>柱顶X/Z位移和Y转角、柱底轴力/剪力/弯矩。</x:v>
      </x:c>
      <x:c r="P97" s="11" t="str">
        <x:v>轴向和侧向分量分开；指定位置/分量对照数值真值，输出文字与结构化结果保持符号、单位和工况一致。</x:v>
      </x:c>
      <x:c r="Q97" s="18" t="str">
        <x:v>旧题改编</x:v>
      </x:c>
      <x:c r="R97" s="11" t="str">
        <x:v>std-column-axial-600kn-lateral30</x:v>
      </x:c>
      <x:c r="S97" s="11" t="str">
        <x:v>无</x:v>
      </x:c>
      <x:c r="T97" s="11" t="str">
        <x:v>保留旧题主要几何与荷载，显式补齐单位、自重、观测位置和结果评分；新契约下须重新核验真值。</x:v>
      </x:c>
      <x:c r="U97" s="11" t="str">
        <x:v>拟建立独立审定的 OpenSees 模型及同版本/同设置参考结果；PL/EA与悬臂弯曲解析叠加；固端剪力/弯矩及变形符号复核。 参考值尚未生成。 所有题定输出均须覆盖，校核实现不复用被测转换链路。</x:v>
      </x:c>
      <x:c r="V97" s="11" t="str">
        <x:v>基础工具；完整题面、参数/单位契约与真值待验证</x:v>
      </x:c>
      <x:c r="W97" s="11" t="str">
        <x:v>规划，待编题与验证</x:v>
      </x:c>
      <x:c r="X97" s="11" t="str">
        <x:v>OpenSees</x:v>
      </x:c>
      <x:c r="Y97" s="18" t="str">
        <x:v>OpenSees</x:v>
      </x:c>
      <x:c r="Z97" s="11" t="str">
        <x:v>独立柱或柱短臂的杆系响应核验，采用 OpenSees，不扩成建筑单元。 本题重点：轴向和侧向分量分开。</x:v>
      </x:c>
      <x:c r="AA97" s="11" t="str">
        <x:v>拟要求真实 OpenSees 求解，保存输入与原始结果的对应关系；解析式/独立矩阵解用于校核，不能替代规定引擎执行证据。</x:v>
      </x:c>
      <x:c r="AB97" s="11" t="str">
        <x:v>待逐题验证</x:v>
      </x:c>
      <x:c r="AC97" s="11" t="str">
        <x:v>逐题核验轴向和侧向分量分开；输入、结果分量/位置及数值标答尚未完成验收。 当前无据认定接口不支持；需实际能力测试后确定，不将未验证能力记为模型失败。</x:v>
      </x:c>
      <x:c r="AD97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97" s="11" t="str">
        <x:v>拟保存（尚未生成）：OpenSees 版本、可运行模型/脚本、节点构件和荷载表、实际计算日志、原始结果与工况索引、平衡/独立解校核记录。</x:v>
      </x:c>
      <x:c r="AF97" s="11" t="str">
        <x:v>OPS；COMMON</x:v>
      </x:c>
    </x:row>
    <x:row r="98" ht="67.5" customHeight="1">
      <x:c r="A98" s="15" t="str">
        <x:v>STD-097</x:v>
      </x:c>
      <x:c r="B98" s="6" t="str">
        <x:v>标准工作流</x:v>
      </x:c>
      <x:c r="C98" s="19" t="str">
        <x:v>M-STD-097</x:v>
      </x:c>
      <x:c r="D98" s="6" t="str">
        <x:v>中部与顶部双点轴压钢柱</x:v>
      </x:c>
      <x:c r="E98" s="6" t="str">
        <x:v>柱</x:v>
      </x:c>
      <x:c r="F98" s="19" t="str">
        <x:v>2D</x:v>
      </x:c>
      <x:c r="G98" s="6" t="str">
        <x:v>分段轴力与柱压缩</x:v>
      </x:c>
      <x:c r="H98" s="19" t="str">
        <x:v>L2</x:v>
      </x:c>
      <x:c r="I98" s="6" t="str">
        <x:v>多个轴向加载位置导致分段轴力，不能把所有荷载移到顶部计算缩短。</x:v>
      </x:c>
      <x:c r="J98" s="19" t="str">
        <x:v>中文</x:v>
      </x:c>
      <x:c r="K98" s="6" t="str">
        <x:v>完整文字任务 + 随题分析属性表（待编制）</x:v>
      </x:c>
      <x:c r="L98" s="23" t="n">
        <x:v>1</x:v>
      </x:c>
      <x:c r="M98" s="6" t="str">
        <x:v>5m钢柱底固定、截面HW300×300完整A等属性按表；顶部向下700kN，z=2.5m中部共享节点另加向下200kN。采用一阶弹性，不做稳定验算。</x:v>
      </x:c>
      <x:c r="N98" s="6" t="str">
        <x:v>中部节点荷载使上下段轴力不同，节点必须连通且轴力符号明确</x:v>
      </x:c>
      <x:c r="O98" s="6" t="str">
        <x:v>中点与顶点Z位移、上下段轴力及底竖向反力，说明为静力压缩响应。</x:v>
      </x:c>
      <x:c r="P98" s="6" t="str">
        <x:v>中部节点荷载使上下段轴力不同，节点必须连通且轴力符号明确；指定位置/分量对照数值真值，输出文字与结构化结果保持符号、单位和工况一致。</x:v>
      </x:c>
      <x:c r="Q98" s="19" t="str">
        <x:v>旧题改编</x:v>
      </x:c>
      <x:c r="R98" s="6" t="str">
        <x:v>std-column-steel-5m-en</x:v>
      </x:c>
      <x:c r="S98" s="6" t="str">
        <x:v>无</x:v>
      </x:c>
      <x:c r="T98" s="6" t="str">
        <x:v>保留旧题主要几何与荷载，显式补齐单位、自重、观测位置和结果评分；新契约下须重新核验真值。 新增中高节点200kN轴向力，形成双位置加载模型；不直接沿用旧纯顶点轴压数值。</x:v>
      </x:c>
      <x:c r="U98" s="6" t="str">
        <x:v>拟建立独立审定的 OpenSees 模型及同版本/同设置参考结果；上下段N·L/(EA)积分得到节点缩短；中点轴力跳跃和整体竖向平衡复核，新真值待建立。 所有题定输出均须覆盖，校核实现不复用被测转换链路。</x:v>
      </x:c>
      <x:c r="V98" s="6" t="str">
        <x:v>基础工具；完整题面、参数/单位契约与真值待验证</x:v>
      </x:c>
      <x:c r="W98" s="6" t="str">
        <x:v>规划，待编题与验证</x:v>
      </x:c>
      <x:c r="X98" s="6" t="str">
        <x:v>OpenSees</x:v>
      </x:c>
      <x:c r="Y98" s="19" t="str">
        <x:v>OpenSees</x:v>
      </x:c>
      <x:c r="Z98" s="6" t="str">
        <x:v>独立柱或柱短臂的杆系响应核验，采用 OpenSees，不扩成建筑单元。 本题重点：中部节点荷载使上下段轴力不同，节点必须连通且轴力符号明确。</x:v>
      </x:c>
      <x:c r="AA98" s="6" t="str">
        <x:v>拟要求真实 OpenSees 求解，保存输入与原始结果的对应关系；解析式/独立矩阵解用于校核，不能替代规定引擎执行证据。</x:v>
      </x:c>
      <x:c r="AB98" s="6" t="str">
        <x:v>待逐题验证</x:v>
      </x:c>
      <x:c r="AC98" s="6" t="str">
        <x:v>中点轴向集中力及上下段轴力跳跃须验收。 当前无据认定接口不支持；需实际能力测试后确定，不将未验证能力记为模型失败。</x:v>
      </x:c>
      <x:c r="AD98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98" s="6" t="str">
        <x:v>拟保存（尚未生成）：OpenSees 版本、可运行模型/脚本、节点构件和荷载表、实际计算日志、原始结果与工况索引、平衡/独立解校核记录。</x:v>
      </x:c>
      <x:c r="AF98" s="6" t="str">
        <x:v>OPS；COMMON</x:v>
      </x:c>
    </x:row>
    <x:row r="99" ht="54" customHeight="1">
      <x:c r="A99" s="14" t="str">
        <x:v>STD-098</x:v>
      </x:c>
      <x:c r="B99" s="11" t="str">
        <x:v>标准工作流</x:v>
      </x:c>
      <x:c r="C99" s="18" t="str">
        <x:v>M-STD-098</x:v>
      </x:c>
      <x:c r="D99" s="11" t="str">
        <x:v>空间悬臂柱双向侧力</x:v>
      </x:c>
      <x:c r="E99" s="11" t="str">
        <x:v>柱</x:v>
      </x:c>
      <x:c r="F99" s="18" t="str">
        <x:v>3D</x:v>
      </x:c>
      <x:c r="G99" s="11" t="str">
        <x:v>双向弯曲与非对称截面</x:v>
      </x:c>
      <x:c r="H99" s="18" t="str">
        <x:v>L2</x:v>
      </x:c>
      <x:c r="I99" s="11" t="str">
        <x:v>两个侧向分量通过不同惯性矩产生响应，强弱轴和全局方向需对应。</x:v>
      </x:c>
      <x:c r="J99" s="18" t="str">
        <x:v>英文</x:v>
      </x:c>
      <x:c r="K99" s="11" t="str">
        <x:v>完整文字任务 + 随题分析属性表（待编制）</x:v>
      </x:c>
      <x:c r="L99" s="22" t="n">
        <x:v>1</x:v>
      </x:c>
      <x:c r="M99" s="11" t="str">
        <x:v>高6m，底六自由度固定，顶X向20、Y向15、Z向-400kN，给非对称截面；完整属性按公共契约随题给出。 给出局部轴和两个不同主惯性矩，顶力为(20,15,-400)kN，采用一阶弹性。</x:v>
      </x:c>
      <x:c r="N99" s="11" t="str">
        <x:v>两个弯曲方向与截面惯性矩</x:v>
      </x:c>
      <x:c r="O99" s="11" t="str">
        <x:v>柱顶X/Y/Z位移及转角、柱底六分量反力，附对应截面轴。</x:v>
      </x:c>
      <x:c r="P99" s="11" t="str">
        <x:v>两个弯曲方向与截面惯性矩；指定位置/分量对照数值真值，输出文字与结构化结果保持符号、单位和工况一致。</x:v>
      </x:c>
      <x:c r="Q99" s="18" t="str">
        <x:v>新增</x:v>
      </x:c>
      <x:c r="R99" s="11" t="str">
        <x:v>无</x:v>
      </x:c>
      <x:c r="S99" s="11" t="str">
        <x:v>无</x:v>
      </x:c>
      <x:c r="T99" s="11" t="str">
        <x:v>新增工程场景；母模型、提示词和真值均待建立。</x:v>
      </x:c>
      <x:c r="U99" s="11" t="str">
        <x:v>拟建立独立审定的 OpenSees 模型及同版本/同设置参考结果；两主轴悬臂解析弯曲加轴向缩短，转回全局；六分量反力平衡复核。 参考值尚未生成。 所有题定输出均须覆盖，校核实现不复用被测转换链路。</x:v>
      </x:c>
      <x:c r="V99" s="11" t="str">
        <x:v>空间局部轴需验证；完整题面、参数/单位契约与真值待验证</x:v>
      </x:c>
      <x:c r="W99" s="11" t="str">
        <x:v>规划，待编题与验证</x:v>
      </x:c>
      <x:c r="X99" s="11" t="str">
        <x:v>OpenSees</x:v>
      </x:c>
      <x:c r="Y99" s="18" t="str">
        <x:v>OpenSees</x:v>
      </x:c>
      <x:c r="Z99" s="11" t="str">
        <x:v>独立柱或柱短臂的杆系响应核验，采用 OpenSees，不扩成建筑单元。 本题重点：两个弯曲方向与截面惯性矩。</x:v>
      </x:c>
      <x:c r="AA99" s="11" t="str">
        <x:v>拟要求真实 OpenSees 求解，保存输入与原始结果的对应关系；解析式/独立矩阵解用于校核，不能替代规定引擎执行证据。</x:v>
      </x:c>
      <x:c r="AB99" s="11" t="str">
        <x:v>待逐题验证</x:v>
      </x:c>
      <x:c r="AC99" s="11" t="str">
        <x:v>非对称截面两个主轴、局部轴与三维六分量反力须验证。 当前无据认定接口不支持；需实际能力测试后确定，不将未验证能力记为模型失败。</x:v>
      </x:c>
      <x:c r="AD99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99" s="11" t="str">
        <x:v>拟保存（尚未生成）：OpenSees 版本、可运行模型/脚本、节点构件和荷载表、实际计算日志、原始结果与工况索引、平衡/独立解校核记录。</x:v>
      </x:c>
      <x:c r="AF99" s="11" t="str">
        <x:v>OPS；COMMON</x:v>
      </x:c>
    </x:row>
    <x:row r="100" ht="54" customHeight="1">
      <x:c r="A100" s="15" t="str">
        <x:v>STD-099</x:v>
      </x:c>
      <x:c r="B100" s="6" t="str">
        <x:v>标准工作流</x:v>
      </x:c>
      <x:c r="C100" s="19" t="str">
        <x:v>M-STD-099</x:v>
      </x:c>
      <x:c r="D100" s="6" t="str">
        <x:v>分段截面悬臂柱</x:v>
      </x:c>
      <x:c r="E100" s="6" t="str">
        <x:v>柱</x:v>
      </x:c>
      <x:c r="F100" s="19" t="str">
        <x:v>2D</x:v>
      </x:c>
      <x:c r="G100" s="6" t="str">
        <x:v>柱分段截面与连续性</x:v>
      </x:c>
      <x:c r="H100" s="19" t="str">
        <x:v>L2</x:v>
      </x:c>
      <x:c r="I100" s="6" t="str">
        <x:v>截面界面是连通节点，位移转角连续而应变曲率可变化。</x:v>
      </x:c>
      <x:c r="J100" s="19" t="str">
        <x:v>中文</x:v>
      </x:c>
      <x:c r="K100" s="6" t="str">
        <x:v>完整文字任务 + 随题分析属性表（待编制）</x:v>
      </x:c>
      <x:c r="L100" s="23" t="n">
        <x:v>1</x:v>
      </x:c>
      <x:c r="M100" s="6" t="str">
        <x:v>高8m，下段0至3m用C1、上段用C2，顶轴压与侧力明确；完整属性按公共契约随题给出。 顶端竖向-500kN、X向25kN，下段0至3m为C1、上段为C2；界面无铰。</x:v>
      </x:c>
      <x:c r="N100" s="6" t="str">
        <x:v>截面分界节点与整体连续</x:v>
      </x:c>
      <x:c r="O100" s="6" t="str">
        <x:v>柱顶X/Z位移、z=3m节点位移/转角、界面端力及柱底反力。</x:v>
      </x:c>
      <x:c r="P100" s="6" t="str">
        <x:v>截面分界节点与整体连续；指定位置/分量对照数值真值，输出文字与结构化结果保持符号、单位和工况一致。</x:v>
      </x:c>
      <x:c r="Q100" s="19" t="str">
        <x:v>新增</x:v>
      </x:c>
      <x:c r="R100" s="6" t="str">
        <x:v>无</x:v>
      </x:c>
      <x:c r="S100" s="6" t="str">
        <x:v>无</x:v>
      </x:c>
      <x:c r="T100" s="6" t="str">
        <x:v>新增工程场景；母模型、提示词和真值均待建立。</x:v>
      </x:c>
      <x:c r="U100" s="6" t="str">
        <x:v>拟建立独立审定的 OpenSees 模型及同版本/同设置参考结果；轴向分段积分和弯曲单位荷载法；界面位移连续及端力平衡复核。 参考值尚未生成。 所有题定输出均须覆盖，校核实现不复用被测转换链路。</x:v>
      </x:c>
      <x:c r="V100" s="6" t="str">
        <x:v>基础工具；完整题面、参数/单位契约与真值待验证</x:v>
      </x:c>
      <x:c r="W100" s="6" t="str">
        <x:v>规划，待编题与验证</x:v>
      </x:c>
      <x:c r="X100" s="6" t="str">
        <x:v>OpenSees</x:v>
      </x:c>
      <x:c r="Y100" s="19" t="str">
        <x:v>OpenSees</x:v>
      </x:c>
      <x:c r="Z100" s="6" t="str">
        <x:v>独立柱或柱短臂的杆系响应核验，采用 OpenSees，不扩成建筑单元。 本题重点：截面分界节点与整体连续。</x:v>
      </x:c>
      <x:c r="AA100" s="6" t="str">
        <x:v>拟要求真实 OpenSees 求解，保存输入与原始结果的对应关系；解析式/独立矩阵解用于校核，不能替代规定引擎执行证据。</x:v>
      </x:c>
      <x:c r="AB100" s="6" t="str">
        <x:v>待逐题验证</x:v>
      </x:c>
      <x:c r="AC100" s="6" t="str">
        <x:v>不同柱段 EA/EI、界面连续性及截面端力读取须验收。 当前无据认定接口不支持；需实际能力测试后确定，不将未验证能力记为模型失败。</x:v>
      </x:c>
      <x:c r="AD100" s="6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100" s="6" t="str">
        <x:v>拟保存（尚未生成）：OpenSees 版本、可运行模型/脚本、节点构件和荷载表、实际计算日志、原始结果与工况索引、平衡/独立解校核记录。</x:v>
      </x:c>
      <x:c r="AF100" s="6" t="str">
        <x:v>OPS；COMMON</x:v>
      </x:c>
    </x:row>
    <x:row r="101" ht="67.5" customHeight="1">
      <x:c r="A101" s="14" t="str">
        <x:v>STD-100</x:v>
      </x:c>
      <x:c r="B101" s="11" t="str">
        <x:v>标准工作流</x:v>
      </x:c>
      <x:c r="C101" s="18" t="str">
        <x:v>M-STD-100</x:v>
      </x:c>
      <x:c r="D101" s="11" t="str">
        <x:v>带刚接短臂的偏心受载柱</x:v>
      </x:c>
      <x:c r="E101" s="11" t="str">
        <x:v>柱</x:v>
      </x:c>
      <x:c r="F101" s="18" t="str">
        <x:v>3D</x:v>
      </x:c>
      <x:c r="G101" s="11" t="str">
        <x:v>真实偏心短臂与空间弯扭</x:v>
      </x:c>
      <x:c r="H101" s="18" t="str">
        <x:v>L3</x:v>
      </x:c>
      <x:c r="I101" s="11" t="str">
        <x:v>偏心几何同时引入弯曲与扭转，不能把端力直接移到柱轴而漏掉力矩。</x:v>
      </x:c>
      <x:c r="J101" s="18" t="str">
        <x:v>英文</x:v>
      </x:c>
      <x:c r="K101" s="11" t="str">
        <x:v>完整文字任务 + 随题分析属性表（待编制）</x:v>
      </x:c>
      <x:c r="L101" s="22" t="n">
        <x:v>1</x:v>
      </x:c>
      <x:c r="M101" s="11" t="str">
        <x:v>柱高5m，柱顶沿X向刚接1m短梁，短梁端向下200kN及Y向10kN；完整属性按公共契约随题给出。 柱顶(0,0,5)m与臂端(1,0,5)m真实刚接，柱和短梁各给A/I/J；臂端受(0,10,-200)kN。</x:v>
      </x:c>
      <x:c r="N101" s="11" t="str">
        <x:v>真实偏心几何与空间荷载，不用未声明刚臂简化</x:v>
      </x:c>
      <x:c r="O101" s="11" t="str">
        <x:v>臂端三向位移/转角、柱顶转角、柱底六分量反力和梁柱端力。</x:v>
      </x:c>
      <x:c r="P101" s="11" t="str">
        <x:v>真实偏心几何与空间荷载，不用未声明刚臂简化；指定位置/分量对照数值真值，输出文字与结构化结果保持符号、单位和工况一致。</x:v>
      </x:c>
      <x:c r="Q101" s="18" t="str">
        <x:v>新增</x:v>
      </x:c>
      <x:c r="R101" s="11" t="str">
        <x:v>无</x:v>
      </x:c>
      <x:c r="S101" s="11" t="str">
        <x:v>无</x:v>
      </x:c>
      <x:c r="T101" s="11" t="str">
        <x:v>新增工程场景；母模型、提示词和真值均待建立。</x:v>
      </x:c>
      <x:c r="U101" s="11" t="str">
        <x:v>拟建立独立审定的 OpenSees 模型及同版本/同设置参考结果；独立三维框架含扭转刚度解；臂端力关于柱底的力矩平衡手算复核，变形另做独立能量法抽查。 参考值尚未生成。 所有题定输出均须覆盖，校核实现不复用被测转换链路。</x:v>
      </x:c>
      <x:c r="V101" s="11" t="str">
        <x:v>空间梁柱连接需验证；完整题面、参数/单位契约与真值待验证；扭转刚度J及六分量端力输出需验证</x:v>
      </x:c>
      <x:c r="W101" s="11" t="str">
        <x:v>规划，待编题与验证</x:v>
      </x:c>
      <x:c r="X101" s="11" t="str">
        <x:v>OpenSees</x:v>
      </x:c>
      <x:c r="Y101" s="18" t="str">
        <x:v>OpenSees</x:v>
      </x:c>
      <x:c r="Z101" s="11" t="str">
        <x:v>独立柱或柱短臂的杆系响应核验，采用 OpenSees，不扩成建筑单元。 本题重点：真实偏心几何与空间荷载，不用未声明刚臂简化。</x:v>
      </x:c>
      <x:c r="AA101" s="11" t="str">
        <x:v>拟要求真实 OpenSees 求解，保存输入与原始结果的对应关系；解析式/独立矩阵解用于校核，不能替代规定引擎执行证据。</x:v>
      </x:c>
      <x:c r="AB101" s="11" t="str">
        <x:v>待逐题验证</x:v>
      </x:c>
      <x:c r="AC101" s="11" t="str">
        <x:v>真实短臂连接、扭转刚度 J、六分量内力与转角读取须验证，不以未声明刚臂替换。 当前无据认定接口不支持；需实际能力测试后确定，不将未验证能力记为模型失败。</x:v>
      </x:c>
      <x:c r="AD101" s="11" t="str">
        <x:v>保留题定几何、材料截面、边界和荷载；采用一阶线弹性静力、自重关闭。按明示全局/局部轴、字段单位及工况/组合计算；不新增刚性楼板、未声明刚臂或规范默认组合；结果位置/分量与原题一致。</x:v>
      </x:c>
      <x:c r="AE101" s="11" t="str">
        <x:v>拟保存（尚未生成）：OpenSees 版本、可运行模型/脚本、节点构件和荷载表、实际计算日志、原始结果与工况索引、平衡/独立解校核记录。</x:v>
      </x:c>
      <x:c r="AF101" s="11" t="str">
        <x:v>OPS；COMMON</x:v>
      </x:c>
    </x:row>
    <x:row r="102" ht="67.5" customHeight="1">
      <x:c r="A102" s="15" t="str">
        <x:v>INT-001</x:v>
      </x:c>
      <x:c r="B102" s="6" t="str">
        <x:v>交互鲁棒性</x:v>
      </x:c>
      <x:c r="C102" s="19" t="str">
        <x:v>M-INT-001</x:v>
      </x:c>
      <x:c r="D102" s="6" t="str">
        <x:v>简支梁追加集中力后撤销</x:v>
      </x:c>
      <x:c r="E102" s="6" t="str">
        <x:v>梁</x:v>
      </x:c>
      <x:c r="F102" s="19" t="str">
        <x:v>2D</x:v>
      </x:c>
      <x:c r="G102" s="6" t="str">
        <x:v>追加与撤销</x:v>
      </x:c>
      <x:c r="H102" s="19" t="str">
        <x:v>L2</x:v>
      </x:c>
      <x:c r="I102" s="6" t="str">
        <x:v>旧荷载保留、新荷载追加和撤销需区分</x:v>
      </x:c>
      <x:c r="J102" s="19" t="str">
        <x:v>中文</x:v>
      </x:c>
      <x:c r="K102" s="6" t="str">
        <x:v>文本3轮＋完整属性附件（仅暂缺项除外）</x:v>
      </x:c>
      <x:c r="L102" s="23" t="n">
        <x:v>3</x:v>
      </x:c>
      <x:c r="M102" s="6" t="str">
        <x:v>T1所用独立模型为M-INT-001（均布加近支座点力梁）。T1建立M-INT-001；T2跨中追加向下30kN；T3只撤销这项30kN并重算。</x:v>
      </x:c>
      <x:c r="N102" s="6" t="str">
        <x:v>梁边界和均布荷载覆盖；荷载分布的独立状态保持</x:v>
      </x:c>
      <x:c r="O102" s="6" t="str">
        <x:v>x=3m的Uz及左支座Rz；所有值附位置、方向、单位、工况及当前轮次；澄清前不编造数值。</x:v>
      </x:c>
      <x:c r="P102" s="6" t="str">
        <x:v>20kN/m始终保留；最终恢复M-INT-001，不能清空工况；跨中节点仍连接两侧单元；保持x=1.5m的12kN力。</x:v>
      </x:c>
      <x:c r="Q102" s="19" t="str">
        <x:v>旧题改编</x:v>
      </x:c>
      <x:c r="R102" s="6" t="str">
        <x:v>robust-update-beam-add-load</x:v>
      </x:c>
      <x:c r="S102" s="6" t="str">
        <x:v>无</x:v>
      </x:c>
      <x:c r="T102" s="6" t="str">
        <x:v>旧题交互机制迁入M-INT-001；补齐属性、完成计算与更新不变量；本行轮次为新契约，旧数字不直接沿用。该题已有独立物理改动，不与其他任务共享模型。</x:v>
      </x:c>
      <x:c r="U102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02" s="6" t="str">
        <x:v>基础工具；逐轮状态与目标/非目标差异评测待实现</x:v>
      </x:c>
      <x:c r="W102" s="6" t="str">
        <x:v>规划，待编题与验证</x:v>
      </x:c>
      <x:c r="X102" s="6" t="str">
        <x:v>OpenSees</x:v>
      </x:c>
      <x:c r="Y102" s="19" t="str">
        <x:v>OpenSees</x:v>
      </x:c>
      <x:c r="Z102" s="6" t="str">
        <x:v>2D梁的追加与撤销，重点是梁边界和均布荷载覆盖，用显式杆系模型核对状态与响应。</x:v>
      </x:c>
      <x:c r="AA102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02" s="6" t="str">
        <x:v>待逐题验证</x:v>
      </x:c>
      <x:c r="AC102" s="6" t="str">
        <x:v>未逐题验收；前置检查项：基础工具，并核对追加与撤销后的模型更新和结果定位；不把一般OpenSees支持等同于当前StructureClaw已实现。</x:v>
      </x:c>
      <x:c r="AD102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0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3m的Uz及左支座Rz。</x:v>
      </x:c>
      <x:c r="AF102" s="6" t="str">
        <x:v>OPS；COMMON</x:v>
      </x:c>
    </x:row>
    <x:row r="103" ht="67.5" customHeight="1">
      <x:c r="A103" s="14" t="str">
        <x:v>INT-002</x:v>
      </x:c>
      <x:c r="B103" s="11" t="str">
        <x:v>交互鲁棒性</x:v>
      </x:c>
      <x:c r="C103" s="18" t="str">
        <x:v>M-INT-002</x:v>
      </x:c>
      <x:c r="D103" s="11" t="str">
        <x:v>悬臂梁端力单位补充</x:v>
      </x:c>
      <x:c r="E103" s="11" t="str">
        <x:v>梁</x:v>
      </x:c>
      <x:c r="F103" s="18" t="str">
        <x:v>2D</x:v>
      </x:c>
      <x:c r="G103" s="11" t="str">
        <x:v>单位澄清后计算</x:v>
      </x:c>
      <x:c r="H103" s="18" t="str">
        <x:v>L2</x:v>
      </x:c>
      <x:c r="I103" s="11" t="str">
        <x:v>缺的是力单位而非边界，补充后应直接完成</x:v>
      </x:c>
      <x:c r="J103" s="18" t="str">
        <x:v>英文</x:v>
      </x:c>
      <x:c r="K103" s="11" t="str">
        <x:v>文本2轮＋完整属性附件（仅暂缺项除外）</x:v>
      </x:c>
      <x:c r="L103" s="22" t="n">
        <x:v>2</x:v>
      </x:c>
      <x:c r="M103" s="11" t="str">
        <x:v>T1所用独立模型为M-INT-002（端竖力与端轴力悬臂梁）。T1给M-INT-002其余信息，端力仅写10、单位空缺；T2确认10kN竖直向下。</x:v>
      </x:c>
      <x:c r="N103" s="11" t="str">
        <x:v>固端与自由端不能互换；荷载分量的独立状态保持</x:v>
      </x:c>
      <x:c r="O103" s="11" t="str">
        <x:v>自由端x=3m的Ux/Uz和固端My；所有值附位置、方向、单位、工况及当前轮次；澄清前不编造数值。</x:v>
      </x:c>
      <x:c r="P103" s="11" t="str">
        <x:v>只追问端力单位；保留左固支和3m长度；不得猜N或改作均布载；端部X正向5kN始终保持；若已有信息可唯一推得缺项，接受说明依据后直接完成，否则再澄清。</x:v>
      </x:c>
      <x:c r="Q103" s="18" t="str">
        <x:v>旧题改编</x:v>
      </x:c>
      <x:c r="R103" s="11" t="str">
        <x:v>robust-beam-unit-ambiguity-load</x:v>
      </x:c>
      <x:c r="S103" s="11" t="str">
        <x:v>无</x:v>
      </x:c>
      <x:c r="T103" s="11" t="str">
        <x:v>旧题交互机制迁入M-INT-002；补齐属性、完成计算与更新不变量；本行轮次为新契约，旧数字不直接沿用。该题已有独立物理改动，不与其他任务共享模型。</x:v>
      </x:c>
      <x:c r="U103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03" s="11" t="str">
        <x:v>基础工具；逐轮状态与目标/非目标差异评测待实现</x:v>
      </x:c>
      <x:c r="W103" s="11" t="str">
        <x:v>规划，待编题与验证</x:v>
      </x:c>
      <x:c r="X103" s="11" t="str">
        <x:v>OpenSees</x:v>
      </x:c>
      <x:c r="Y103" s="18" t="str">
        <x:v>OpenSees</x:v>
      </x:c>
      <x:c r="Z103" s="11" t="str">
        <x:v>2D梁的单位澄清后计算，重点是固端与自由端不能互换，用显式杆系模型核对状态与响应。</x:v>
      </x:c>
      <x:c r="AA103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03" s="11" t="str">
        <x:v>待逐题验证</x:v>
      </x:c>
      <x:c r="AC103" s="11" t="str">
        <x:v>未逐题验收；前置检查项：基础工具，并核对单位澄清后计算后的模型更新和结果定位；不把一般OpenSees支持等同于当前StructureClaw已实现。</x:v>
      </x:c>
      <x:c r="AD103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0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自由端x=3m的Ux/Uz和固端My。</x:v>
      </x:c>
      <x:c r="AF103" s="11" t="str">
        <x:v>OPS；COMMON</x:v>
      </x:c>
    </x:row>
    <x:row r="104" ht="67.5" customHeight="1">
      <x:c r="A104" s="15" t="str">
        <x:v>INT-003</x:v>
      </x:c>
      <x:c r="B104" s="6" t="str">
        <x:v>交互鲁棒性</x:v>
      </x:c>
      <x:c r="C104" s="19" t="str">
        <x:v>M-INT-003</x:v>
      </x:c>
      <x:c r="D104" s="6" t="str">
        <x:v>外伸梁移动观测点</x:v>
      </x:c>
      <x:c r="E104" s="6" t="str">
        <x:v>梁</x:v>
      </x:c>
      <x:c r="F104" s="19" t="str">
        <x:v>2D</x:v>
      </x:c>
      <x:c r="G104" s="6" t="str">
        <x:v>结果定位修订</x:v>
      </x:c>
      <x:c r="H104" s="19" t="str">
        <x:v>L2</x:v>
      </x:c>
      <x:c r="I104" s="6" t="str">
        <x:v>同一个模型中几何中点和支承跨中不同</x:v>
      </x:c>
      <x:c r="J104" s="19" t="str">
        <x:v>中文</x:v>
      </x:c>
      <x:c r="K104" s="6" t="str">
        <x:v>文本2轮＋完整属性附件（仅暂缺项除外）</x:v>
      </x:c>
      <x:c r="L104" s="23" t="n">
        <x:v>2</x:v>
      </x:c>
      <x:c r="M104" s="6" t="str">
        <x:v>T1所用独立模型为M-INT-003（外伸段较柔的双截面梁）。T1建立M-INT-003并取x=3.25m和6.5m位移；T2将第一个观测点改为支承跨中x=2.5m，外伸端不变。</x:v>
      </x:c>
      <x:c r="N104" s="6" t="str">
        <x:v>全长中点与支承跨中不同；截面分组的独立状态保持</x:v>
      </x:c>
      <x:c r="O104" s="6" t="str">
        <x:v>按轮次x=3.25或2.5m及外伸端x=6.5m的Uz；所有值附位置、方向、单位、工况及当前轮次；澄清前不编造数值。</x:v>
      </x:c>
      <x:c r="P104" s="6" t="str">
        <x:v>不改结构荷载；x=2.5m与3.25m不得混用；需要加分析节点时保持连接；截面分界仍在x=5m，外伸段B2不变。</x:v>
      </x:c>
      <x:c r="Q104" s="19" t="str">
        <x:v>新增</x:v>
      </x:c>
      <x:c r="R104" s="6" t="str">
        <x:v>无</x:v>
      </x:c>
      <x:c r="S104" s="6" t="str">
        <x:v>无</x:v>
      </x:c>
      <x:c r="T104" s="6" t="str">
        <x:v>新增交互场景；独立起始模型来源另见M-INT-003，不把同基础模型计为旧交互题沿用。该题已有独立物理改动，不与其他任务共享模型。</x:v>
      </x:c>
      <x:c r="U10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04" s="6" t="str">
        <x:v>基础工具；逐轮状态与目标/非目标差异评测待实现</x:v>
      </x:c>
      <x:c r="W104" s="6" t="str">
        <x:v>规划，待编题与验证</x:v>
      </x:c>
      <x:c r="X104" s="6" t="str">
        <x:v>OpenSees</x:v>
      </x:c>
      <x:c r="Y104" s="19" t="str">
        <x:v>OpenSees</x:v>
      </x:c>
      <x:c r="Z104" s="6" t="str">
        <x:v>只移动结果观测点，检验连续梁内位移恢复而非建筑软件流程</x:v>
      </x:c>
      <x:c r="AA10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04" s="6" t="str">
        <x:v>待逐题验证</x:v>
      </x:c>
      <x:c r="AC104" s="6" t="str">
        <x:v>未逐题验收；前置检查项：基础工具，并核对结果定位修订后的模型更新和结果定位；不把一般OpenSees支持等同于当前StructureClaw已实现。</x:v>
      </x:c>
      <x:c r="AD104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0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按轮次x=3.25或2.5m及外伸端x=6.5m的Uz。</x:v>
      </x:c>
      <x:c r="AF104" s="6" t="str">
        <x:v>OPS；COMMON</x:v>
      </x:c>
    </x:row>
    <x:row r="105" ht="67.5" customHeight="1">
      <x:c r="A105" s="14" t="str">
        <x:v>INT-004</x:v>
      </x:c>
      <x:c r="B105" s="11" t="str">
        <x:v>交互鲁棒性</x:v>
      </x:c>
      <x:c r="C105" s="18" t="str">
        <x:v>M-INT-004</x:v>
      </x:c>
      <x:c r="D105" s="11" t="str">
        <x:v>梁的支承条件矛盾后统一</x:v>
      </x:c>
      <x:c r="E105" s="11" t="str">
        <x:v>梁</x:v>
      </x:c>
      <x:c r="F105" s="18" t="str">
        <x:v>2D</x:v>
      </x:c>
      <x:c r="G105" s="11" t="str">
        <x:v>冲突澄清后计算</x:v>
      </x:c>
      <x:c r="H105" s="18" t="str">
        <x:v>L2</x:v>
      </x:c>
      <x:c r="I105" s="11" t="str">
        <x:v>支座矛盾必须明确选定，不能凭常用模板决定</x:v>
      </x:c>
      <x:c r="J105" s="18" t="str">
        <x:v>英文</x:v>
      </x:c>
      <x:c r="K105" s="11" t="str">
        <x:v>文本2轮＋完整属性附件（仅暂缺项除外）</x:v>
      </x:c>
      <x:c r="L105" s="22" t="n">
        <x:v>2</x:v>
      </x:c>
      <x:c r="M105" s="11" t="str">
        <x:v>T1所用独立模型为M-INT-004（仅左九米均布的偏心点载梁）。T1给M-INT-004但同时标注两端固支和左铰右滚；T2确认采用左铰右滚。</x:v>
      </x:c>
      <x:c r="N105" s="11" t="str">
        <x:v>点载位置与观测位置分离；荷载分布的独立状态保持</x:v>
      </x:c>
      <x:c r="O105" s="11" t="str">
        <x:v>跨中x=6m的Uz和左支座Rz；所有值附位置、方向、单位、工况及当前轮次；澄清前不编造数值。</x:v>
      </x:c>
      <x:c r="P105" s="11" t="str">
        <x:v>首轮只指出边界冲突，不猜选；点力仍在x=4m，观测点仍为x=6m；局部均布载只覆盖0～9m。</x:v>
      </x:c>
      <x:c r="Q105" s="18" t="str">
        <x:v>旧题改编</x:v>
      </x:c>
      <x:c r="R105" s="11" t="str">
        <x:v>robust-beam-conflicting-supports</x:v>
      </x:c>
      <x:c r="S105" s="11" t="str">
        <x:v>无</x:v>
      </x:c>
      <x:c r="T105" s="11" t="str">
        <x:v>旧题交互机制迁入M-INT-004；补齐属性、完成计算与更新不变量；本行轮次为新契约，旧数字不直接沿用。该题已有独立物理改动，不与其他任务共享模型。</x:v>
      </x:c>
      <x:c r="U10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05" s="11" t="str">
        <x:v>基础工具；逐轮状态与目标/非目标差异评测待实现</x:v>
      </x:c>
      <x:c r="W105" s="11" t="str">
        <x:v>规划，待编题与验证</x:v>
      </x:c>
      <x:c r="X105" s="11" t="str">
        <x:v>OpenSees</x:v>
      </x:c>
      <x:c r="Y105" s="18" t="str">
        <x:v>OpenSees</x:v>
      </x:c>
      <x:c r="Z105" s="11" t="str">
        <x:v>2D梁的冲突澄清后计算，重点是点载位置与观测位置分离，用显式杆系模型核对状态与响应。</x:v>
      </x:c>
      <x:c r="AA10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05" s="11" t="str">
        <x:v>待逐题验证</x:v>
      </x:c>
      <x:c r="AC105" s="11" t="str">
        <x:v>未逐题验收；前置检查项：基础工具，并核对冲突澄清后计算后的模型更新和结果定位；不把一般OpenSees支持等同于当前StructureClaw已实现。</x:v>
      </x:c>
      <x:c r="AD105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0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跨中x=6m的Uz和左支座Rz。</x:v>
      </x:c>
      <x:c r="AF105" s="11" t="str">
        <x:v>OPS；COMMON</x:v>
      </x:c>
    </x:row>
    <x:row r="106" ht="67.5" customHeight="1">
      <x:c r="A106" s="15" t="str">
        <x:v>INT-005</x:v>
      </x:c>
      <x:c r="B106" s="6" t="str">
        <x:v>交互鲁棒性</x:v>
      </x:c>
      <x:c r="C106" s="19" t="str">
        <x:v>M-INT-005</x:v>
      </x:c>
      <x:c r="D106" s="6" t="str">
        <x:v>跨中力替换不是累加</x:v>
      </x:c>
      <x:c r="E106" s="6" t="str">
        <x:v>梁</x:v>
      </x:c>
      <x:c r="F106" s="19" t="str">
        <x:v>2D</x:v>
      </x:c>
      <x:c r="G106" s="6" t="str">
        <x:v>定值替换</x:v>
      </x:c>
      <x:c r="H106" s="19" t="str">
        <x:v>L2</x:v>
      </x:c>
      <x:c r="I106" s="6" t="str">
        <x:v>点力替换时需保留独立支座外力矩，不能混淆两种量纲</x:v>
      </x:c>
      <x:c r="J106" s="19" t="str">
        <x:v>中文</x:v>
      </x:c>
      <x:c r="K106" s="6" t="str">
        <x:v>文本2轮＋完整属性附件（仅暂缺项除外）</x:v>
      </x:c>
      <x:c r="L106" s="23" t="n">
        <x:v>2</x:v>
      </x:c>
      <x:c r="M106" s="6" t="str">
        <x:v>T1所用独立模型为M-INT-005（支座力矩与跨中点力梁）。T1建立M-INT-005；T2将跨中向下25kN改成40kN并重算。</x:v>
      </x:c>
      <x:c r="N106" s="6" t="str">
        <x:v>集中力节点必须连接两侧单元；荷载类型的独立状态保持</x:v>
      </x:c>
      <x:c r="O106" s="6" t="str">
        <x:v>跨中x=2m的Uz及左支座Rz；所有值附位置、方向、单位、工况及当前轮次；澄清前不编造数值。</x:v>
      </x:c>
      <x:c r="P106" s="6" t="str">
        <x:v>最终集中力是40kN而非65kN；4m跨度、两支座和材料不变；左支座外力矩10kN·m不随跨中力修改。</x:v>
      </x:c>
      <x:c r="Q106" s="19" t="str">
        <x:v>新增</x:v>
      </x:c>
      <x:c r="R106" s="6" t="str">
        <x:v>无</x:v>
      </x:c>
      <x:c r="S106" s="6" t="str">
        <x:v>无</x:v>
      </x:c>
      <x:c r="T106" s="6" t="str">
        <x:v>新增交互场景；独立起始模型来源另见M-INT-005，不把同基础模型计为旧交互题沿用。该题已有独立物理改动，不与其他任务共享模型。</x:v>
      </x:c>
      <x:c r="U10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06" s="6" t="str">
        <x:v>基础工具；节点力矩输入需验证；逐轮状态与目标/非目标差异评测待实现</x:v>
      </x:c>
      <x:c r="W106" s="6" t="str">
        <x:v>规划，待编题与验证</x:v>
      </x:c>
      <x:c r="X106" s="6" t="str">
        <x:v>OpenSees</x:v>
      </x:c>
      <x:c r="Y106" s="19" t="str">
        <x:v>OpenSees</x:v>
      </x:c>
      <x:c r="Z106" s="6" t="str">
        <x:v>2D梁的定值替换，重点是集中力节点必须连接两侧单元，用显式杆系模型核对状态与响应。</x:v>
      </x:c>
      <x:c r="AA10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06" s="6" t="str">
        <x:v>待逐题验证</x:v>
      </x:c>
      <x:c r="AC106" s="6" t="str">
        <x:v>未逐题验收；前置检查项：基础工具；节点力矩输入需验证，并核对定值替换后的模型更新和结果定位；不把一般OpenSees支持等同于当前StructureClaw已实现。</x:v>
      </x:c>
      <x:c r="AD10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0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跨中x=2m的Uz及左支座Rz。</x:v>
      </x:c>
      <x:c r="AF106" s="6" t="str">
        <x:v>OPS；COMMON</x:v>
      </x:c>
    </x:row>
    <x:row r="107" ht="67.5" customHeight="1">
      <x:c r="A107" s="14" t="str">
        <x:v>INT-006</x:v>
      </x:c>
      <x:c r="B107" s="11" t="str">
        <x:v>交互鲁棒性</x:v>
      </x:c>
      <x:c r="C107" s="18" t="str">
        <x:v>M-INT-006</x:v>
      </x:c>
      <x:c r="D107" s="11" t="str">
        <x:v>跨度更新同步跨中观测点</x:v>
      </x:c>
      <x:c r="E107" s="11" t="str">
        <x:v>梁</x:v>
      </x:c>
      <x:c r="F107" s="18" t="str">
        <x:v>2D</x:v>
      </x:c>
      <x:c r="G107" s="11" t="str">
        <x:v>几何更新与结果同步</x:v>
      </x:c>
      <x:c r="H107" s="18" t="str">
        <x:v>L2</x:v>
      </x:c>
      <x:c r="I107" s="11" t="str">
        <x:v>单次跨度更新要求几何节点和报告位置同步</x:v>
      </x:c>
      <x:c r="J107" s="18" t="str">
        <x:v>英文</x:v>
      </x:c>
      <x:c r="K107" s="11" t="str">
        <x:v>文本2轮＋完整属性附件（仅暂缺项除外）</x:v>
      </x:c>
      <x:c r="L107" s="22" t="n">
        <x:v>2</x:v>
      </x:c>
      <x:c r="M107" s="11" t="str">
        <x:v>T1所用独立模型为M-INT-006（左右半跨不同截面的均布梁）。T1按M-INT-006建立8m梁并报跨中；T2跨度改10m、均布强度仍18kN/m，截面分界及跨中观测同步到5m。</x:v>
      </x:c>
      <x:c r="N107" s="11" t="str">
        <x:v>模型与输出单位位置一致；截面分组的独立状态保持</x:v>
      </x:c>
      <x:c r="O107" s="11" t="str">
        <x:v>当前跨度中点Uz（初始x=4m，更新后x=5m）及两支座Rz；所有值附位置、方向、单位、工况及当前轮次；澄清前不编造数值。</x:v>
      </x:c>
      <x:c r="P107" s="11" t="str">
        <x:v>右支座移到10m，跨中移到5m；强度不变而总荷载相应改变；旧8m结果作历史记录；两半跨属性关系保留，分界随8→10m跨度到5m。</x:v>
      </x:c>
      <x:c r="Q107" s="18" t="str">
        <x:v>旧题改编</x:v>
      </x:c>
      <x:c r="R107" s="11" t="str">
        <x:v>robust-update-beam-change-span</x:v>
      </x:c>
      <x:c r="S107" s="11" t="str">
        <x:v>无</x:v>
      </x:c>
      <x:c r="T107" s="11" t="str">
        <x:v>旧题交互机制迁入M-INT-006；补齐属性、完成计算与更新不变量；本行轮次为新契约，旧数字不直接沿用。该题已有独立物理改动，不与其他任务共享模型。</x:v>
      </x:c>
      <x:c r="U10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07" s="11" t="str">
        <x:v>基础工具；逐轮状态与目标/非目标差异评测待实现</x:v>
      </x:c>
      <x:c r="W107" s="11" t="str">
        <x:v>规划，待编题与验证</x:v>
      </x:c>
      <x:c r="X107" s="11" t="str">
        <x:v>OpenSees</x:v>
      </x:c>
      <x:c r="Y107" s="18" t="str">
        <x:v>OpenSees</x:v>
      </x:c>
      <x:c r="Z107" s="11" t="str">
        <x:v>2D梁的几何更新与结果同步，重点是模型与输出单位位置一致，用显式杆系模型核对状态与响应。</x:v>
      </x:c>
      <x:c r="AA10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07" s="11" t="str">
        <x:v>待逐题验证</x:v>
      </x:c>
      <x:c r="AC107" s="11" t="str">
        <x:v>未逐题验收；前置检查项：基础工具，并核对几何更新与结果同步后的模型更新和结果定位；不把一般OpenSees支持等同于当前StructureClaw已实现。</x:v>
      </x:c>
      <x:c r="AD107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0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当前跨度中点Uz（初始x=4m，更新后x=5m）及两支座Rz。</x:v>
      </x:c>
      <x:c r="AF107" s="11" t="str">
        <x:v>OPS；COMMON</x:v>
      </x:c>
    </x:row>
    <x:row r="108" ht="67.5" customHeight="1">
      <x:c r="A108" s="15" t="str">
        <x:v>INT-007</x:v>
      </x:c>
      <x:c r="B108" s="6" t="str">
        <x:v>交互鲁棒性</x:v>
      </x:c>
      <x:c r="C108" s="19" t="str">
        <x:v>M-INT-007</x:v>
      </x:c>
      <x:c r="D108" s="6" t="str">
        <x:v>只缺荷载的简支梁补齐</x:v>
      </x:c>
      <x:c r="E108" s="6" t="str">
        <x:v>梁</x:v>
      </x:c>
      <x:c r="F108" s="19" t="str">
        <x:v>2D</x:v>
      </x:c>
      <x:c r="G108" s="6" t="str">
        <x:v>缺项澄清后计算</x:v>
      </x:c>
      <x:c r="H108" s="19" t="str">
        <x:v>L2</x:v>
      </x:c>
      <x:c r="I108" s="6" t="str">
        <x:v>仅一个必要物理量缺失，不应重复询问已给信息</x:v>
      </x:c>
      <x:c r="J108" s="19" t="str">
        <x:v>中文</x:v>
      </x:c>
      <x:c r="K108" s="6" t="str">
        <x:v>文本2轮＋完整属性附件（仅暂缺项除外）</x:v>
      </x:c>
      <x:c r="L108" s="23" t="n">
        <x:v>2</x:v>
      </x:c>
      <x:c r="M108" s="6" t="str">
        <x:v>T1所用独立模型为M-INT-007（左侧带外伸的八米支承跨梁）。T1给M-INT-007的8m跨度、边界及属性，暂不给荷载；T2补全整根梁x=-2～8m均向下15kN/m。</x:v>
      </x:c>
      <x:c r="N108" s="6" t="str">
        <x:v>材料截面显式提供，避免隐含默认值；拓扑的独立状态保持</x:v>
      </x:c>
      <x:c r="O108" s="6" t="str">
        <x:v>支承跨中x=4m及左自由端x=-2m的Uz；所有值附位置、方向、单位、工况及当前轮次；澄清前不编造数值。</x:v>
      </x:c>
      <x:c r="P108" s="6" t="str">
        <x:v>首轮不假设零载或默认载；不重问跨度材料；补全后完成静力结果；左外伸长度2m保留；所补线载覆盖外伸与支承跨；若已有信息可唯一推得缺项，接受说明依据后直接完成，否则再澄清。</x:v>
      </x:c>
      <x:c r="Q108" s="19" t="str">
        <x:v>旧题改编</x:v>
      </x:c>
      <x:c r="R108" s="6" t="str">
        <x:v>robust-beam-missing-load</x:v>
      </x:c>
      <x:c r="S108" s="6" t="str">
        <x:v>beam-multi-turn-incomplete</x:v>
      </x:c>
      <x:c r="T108" s="6" t="str">
        <x:v>沿用旧缺荷载提问机制，并参考旧多轮补齐题的完成闭环；改为M-INT-007的8m梁，完整属性预先提供。该题已有独立物理改动，不与其他任务共享模型。</x:v>
      </x:c>
      <x:c r="U10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08" s="6" t="str">
        <x:v>基础工具；逐轮状态与目标/非目标差异评测待实现</x:v>
      </x:c>
      <x:c r="W108" s="6" t="str">
        <x:v>规划，待编题与验证</x:v>
      </x:c>
      <x:c r="X108" s="6" t="str">
        <x:v>OpenSees</x:v>
      </x:c>
      <x:c r="Y108" s="19" t="str">
        <x:v>OpenSees</x:v>
      </x:c>
      <x:c r="Z108" s="6" t="str">
        <x:v>2D梁的缺项澄清后计算，重点是材料截面显式提供，避免隐含默认值，用显式杆系模型核对状态与响应。</x:v>
      </x:c>
      <x:c r="AA10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08" s="6" t="str">
        <x:v>待逐题验证</x:v>
      </x:c>
      <x:c r="AC108" s="6" t="str">
        <x:v>未逐题验收；前置检查项：基础工具，并核对缺项澄清后计算后的模型更新和结果定位；不把一般OpenSees支持等同于当前StructureClaw已实现。</x:v>
      </x:c>
      <x:c r="AD10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0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支承跨中x=4m及左自由端x=-2m的Uz。</x:v>
      </x:c>
      <x:c r="AF108" s="6" t="str">
        <x:v>OPS；COMMON</x:v>
      </x:c>
    </x:row>
    <x:row r="109" ht="67.5" customHeight="1">
      <x:c r="A109" s="14" t="str">
        <x:v>INT-008</x:v>
      </x:c>
      <x:c r="B109" s="11" t="str">
        <x:v>交互鲁棒性</x:v>
      </x:c>
      <x:c r="C109" s="18" t="str">
        <x:v>M-INT-008</x:v>
      </x:c>
      <x:c r="D109" s="11" t="str">
        <x:v>局部均布载边界调整</x:v>
      </x:c>
      <x:c r="E109" s="11" t="str">
        <x:v>梁</x:v>
      </x:c>
      <x:c r="F109" s="18" t="str">
        <x:v>2D</x:v>
      </x:c>
      <x:c r="G109" s="11" t="str">
        <x:v>荷载作用区更新</x:v>
      </x:c>
      <x:c r="H109" s="18" t="str">
        <x:v>L2</x:v>
      </x:c>
      <x:c r="I109" s="11" t="str">
        <x:v>加载区间更新牵涉分段而非梁总长</x:v>
      </x:c>
      <x:c r="J109" s="18" t="str">
        <x:v>英文</x:v>
      </x:c>
      <x:c r="K109" s="11" t="str">
        <x:v>文本2轮＋完整属性附件（仅暂缺项除外）</x:v>
      </x:c>
      <x:c r="L109" s="22" t="n">
        <x:v>2</x:v>
      </x:c>
      <x:c r="M109" s="11" t="str">
        <x:v>T1所用独立模型为M-INT-008（局部加载的左固右撑梁）。T1建立M-INT-008；T2将加载区间从x=2～7m改为x=3～8m，强度不变。</x:v>
      </x:c>
      <x:c r="N109" s="11" t="str">
        <x:v>加载区间端点必须正确分段；边界的独立状态保持</x:v>
      </x:c>
      <x:c r="O109" s="11" t="str">
        <x:v>x=4.5m的Uz及左固端My；所有值附位置、方向、单位、工况及当前轮次；澄清前不编造数值。</x:v>
      </x:c>
      <x:c r="P109" s="11" t="str">
        <x:v>跨度和支承不变；只在新5m区间加载12kN/m；旧区间不得残留；左固定右竖向滚支保持，不恢复为两端简支。</x:v>
      </x:c>
      <x:c r="Q109" s="18" t="str">
        <x:v>新增</x:v>
      </x:c>
      <x:c r="R109" s="11" t="str">
        <x:v>无</x:v>
      </x:c>
      <x:c r="S109" s="11" t="str">
        <x:v>无</x:v>
      </x:c>
      <x:c r="T109" s="11" t="str">
        <x:v>新增交互场景；独立起始模型来源另见M-INT-008，不把同基础模型计为旧交互题沿用。该题已有独立物理改动，不与其他任务共享模型。</x:v>
      </x:c>
      <x:c r="U10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09" s="11" t="str">
        <x:v>基础工具；逐轮状态与目标/非目标差异评测待实现</x:v>
      </x:c>
      <x:c r="W109" s="11" t="str">
        <x:v>规划，待编题与验证</x:v>
      </x:c>
      <x:c r="X109" s="11" t="str">
        <x:v>OpenSees</x:v>
      </x:c>
      <x:c r="Y109" s="18" t="str">
        <x:v>OpenSees</x:v>
      </x:c>
      <x:c r="Z109" s="11" t="str">
        <x:v>2D梁的荷载作用区更新，重点是加载区间端点必须正确分段，用显式杆系模型核对状态与响应。</x:v>
      </x:c>
      <x:c r="AA10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09" s="11" t="str">
        <x:v>待逐题验证</x:v>
      </x:c>
      <x:c r="AC109" s="11" t="str">
        <x:v>未逐题验收；前置检查项：基础工具，并核对荷载作用区更新后的模型更新和结果定位；不把一般OpenSees支持等同于当前StructureClaw已实现。</x:v>
      </x:c>
      <x:c r="AD109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0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4.5m的Uz及左固端My。</x:v>
      </x:c>
      <x:c r="AF109" s="11" t="str">
        <x:v>OPS；COMMON</x:v>
      </x:c>
    </x:row>
    <x:row r="110" ht="67.5" customHeight="1">
      <x:c r="A110" s="15" t="str">
        <x:v>INT-009</x:v>
      </x:c>
      <x:c r="B110" s="6" t="str">
        <x:v>交互鲁棒性</x:v>
      </x:c>
      <x:c r="C110" s="19" t="str">
        <x:v>M-INT-009</x:v>
      </x:c>
      <x:c r="D110" s="6" t="str">
        <x:v>两个点力依次编辑再撤销一次</x:v>
      </x:c>
      <x:c r="E110" s="6" t="str">
        <x:v>梁</x:v>
      </x:c>
      <x:c r="F110" s="19" t="str">
        <x:v>2D</x:v>
      </x:c>
      <x:c r="G110" s="6" t="str">
        <x:v>多步编辑与局部撤销</x:v>
      </x:c>
      <x:c r="H110" s="19" t="str">
        <x:v>L3</x:v>
      </x:c>
      <x:c r="I110" s="6" t="str">
        <x:v>需追踪两个独立荷载及撤销作用范围</x:v>
      </x:c>
      <x:c r="J110" s="19" t="str">
        <x:v>中文</x:v>
      </x:c>
      <x:c r="K110" s="6" t="str">
        <x:v>文本4轮＋完整属性附件（仅暂缺项除外）</x:v>
      </x:c>
      <x:c r="L110" s="23" t="n">
        <x:v>4</x:v>
      </x:c>
      <x:c r="M110" s="6" t="str">
        <x:v>T1所用独立模型为M-INT-009（非对称双点载两端固支梁）。T1建立M-INT-009；T2左侧30kN改35kN；T3右侧点力从x=7移到x=8m；T4仅撤销最近的位置修改。</x:v>
      </x:c>
      <x:c r="N110" s="6" t="str">
        <x:v>两个荷载位置和数值不可串用；边界的独立状态保持</x:v>
      </x:c>
      <x:c r="O110" s="6" t="str">
        <x:v>x=5m的Uz及两固端My；所有值附位置、方向、单位、工况及当前轮次；澄清前不编造数值。</x:v>
      </x:c>
      <x:c r="P110" s="6" t="str">
        <x:v>最终x=2处35kN、x=7处45kN；不能把T2一并撤销；无重复点载；两端固支始终保持。</x:v>
      </x:c>
      <x:c r="Q110" s="19" t="str">
        <x:v>新增</x:v>
      </x:c>
      <x:c r="R110" s="6" t="str">
        <x:v>无</x:v>
      </x:c>
      <x:c r="S110" s="6" t="str">
        <x:v>无</x:v>
      </x:c>
      <x:c r="T110" s="6" t="str">
        <x:v>新增交互场景；独立起始模型来源另见M-INT-009，不把同基础模型计为旧交互题沿用。该题已有独立物理改动，不与其他任务共享模型。</x:v>
      </x:c>
      <x:c r="U110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0" s="6" t="str">
        <x:v>基础工具；逐轮状态与目标/非目标差异评测待实现</x:v>
      </x:c>
      <x:c r="W110" s="6" t="str">
        <x:v>规划，待编题与验证</x:v>
      </x:c>
      <x:c r="X110" s="6" t="str">
        <x:v>OpenSees</x:v>
      </x:c>
      <x:c r="Y110" s="19" t="str">
        <x:v>OpenSees</x:v>
      </x:c>
      <x:c r="Z110" s="6" t="str">
        <x:v>2D梁的多步编辑与局部撤销，重点是两个荷载位置和数值不可串用，用显式杆系模型核对状态与响应。</x:v>
      </x:c>
      <x:c r="AA110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0" s="6" t="str">
        <x:v>待逐题验证</x:v>
      </x:c>
      <x:c r="AC110" s="6" t="str">
        <x:v>未逐题验收；前置检查项：基础工具，并核对多步编辑与局部撤销后的模型更新和结果定位；不把一般OpenSees支持等同于当前StructureClaw已实现。</x:v>
      </x:c>
      <x:c r="AD110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5m的Uz及两固端My。</x:v>
      </x:c>
      <x:c r="AF110" s="6" t="str">
        <x:v>OPS；COMMON</x:v>
      </x:c>
    </x:row>
    <x:row r="111" ht="67.5" customHeight="1">
      <x:c r="A111" s="14" t="str">
        <x:v>INT-010</x:v>
      </x:c>
      <x:c r="B111" s="11" t="str">
        <x:v>交互鲁棒性</x:v>
      </x:c>
      <x:c r="C111" s="18" t="str">
        <x:v>M-INT-010</x:v>
      </x:c>
      <x:c r="D111" s="11" t="str">
        <x:v>工况名称混淆后保留两组载</x:v>
      </x:c>
      <x:c r="E111" s="11" t="str">
        <x:v>梁</x:v>
      </x:c>
      <x:c r="F111" s="18" t="str">
        <x:v>2D</x:v>
      </x:c>
      <x:c r="G111" s="11" t="str">
        <x:v>工况澄清</x:v>
      </x:c>
      <x:c r="H111" s="18" t="str">
        <x:v>L2</x:v>
      </x:c>
      <x:c r="I111" s="11" t="str">
        <x:v>分组荷载必须按明确工况名称恢复</x:v>
      </x:c>
      <x:c r="J111" s="18" t="str">
        <x:v>英文</x:v>
      </x:c>
      <x:c r="K111" s="11" t="str">
        <x:v>文本2轮＋完整属性附件（仅暂缺项除外）</x:v>
      </x:c>
      <x:c r="L111" s="22" t="n">
        <x:v>2</x:v>
      </x:c>
      <x:c r="M111" s="11" t="str">
        <x:v>T1所用独立模型为M-INT-010（左右刚度不同的固端分工况梁）。T1给M-INT-010但把左半跨6kN/m同时标为D和L；T2确认它仅属L，全跨8kN/m仅属D。</x:v>
      </x:c>
      <x:c r="N111" s="11" t="str">
        <x:v>边界约束与荷载工况分离；截面分组的独立状态保持</x:v>
      </x:c>
      <x:c r="O111" s="11" t="str">
        <x:v>x=4m的Uz和左固端My，分D/L工况；所有值附位置、方向、单位、工况及当前轮次；澄清前不编造数值。</x:v>
      </x:c>
      <x:c r="P111" s="11" t="str">
        <x:v>D与L独立记录；同一左半跨活载不得施加两次；两端固支不变；两端固支及两半跨截面不同均保持。</x:v>
      </x:c>
      <x:c r="Q111" s="18" t="str">
        <x:v>新增</x:v>
      </x:c>
      <x:c r="R111" s="11" t="str">
        <x:v>无</x:v>
      </x:c>
      <x:c r="S111" s="11" t="str">
        <x:v>无</x:v>
      </x:c>
      <x:c r="T111" s="11" t="str">
        <x:v>新增交互场景；独立起始模型来源另见M-INT-010，不把同基础模型计为旧交互题沿用。该题已有独立物理改动，不与其他任务共享模型。</x:v>
      </x:c>
      <x:c r="U11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1" s="11" t="str">
        <x:v>基础工具；逐轮状态与目标/非目标差异评测待实现；多工况及新增/保留组合的执行契约需验证</x:v>
      </x:c>
      <x:c r="W111" s="11" t="str">
        <x:v>规划，待编题与验证</x:v>
      </x:c>
      <x:c r="X111" s="11" t="str">
        <x:v>OpenSees</x:v>
      </x:c>
      <x:c r="Y111" s="18" t="str">
        <x:v>OpenSees</x:v>
      </x:c>
      <x:c r="Z111" s="11" t="str">
        <x:v>2D梁的工况澄清，重点是边界约束与荷载工况分离，用显式杆系模型核对状态与响应。</x:v>
      </x:c>
      <x:c r="AA11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1" s="11" t="str">
        <x:v>待逐题验证</x:v>
      </x:c>
      <x:c r="AC111" s="11" t="str">
        <x:v>未逐题验收；前置检查项：基础工具；多工况及新增/保留组合的执行契约需验证，并核对工况澄清后的模型更新和结果定位；不把一般OpenSees支持等同于当前StructureClaw已实现。</x:v>
      </x:c>
      <x:c r="AD111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4m的Uz和左固端My，分D/L工况。</x:v>
      </x:c>
      <x:c r="AF111" s="11" t="str">
        <x:v>OPS；COMMON</x:v>
      </x:c>
    </x:row>
    <x:row r="112" ht="67.5" customHeight="1">
      <x:c r="A112" s="15" t="str">
        <x:v>INT-011</x:v>
      </x:c>
      <x:c r="B112" s="6" t="str">
        <x:v>交互鲁棒性</x:v>
      </x:c>
      <x:c r="C112" s="19" t="str">
        <x:v>M-INT-011</x:v>
      </x:c>
      <x:c r="D112" s="6" t="str">
        <x:v>撑杆梁右支座自由度确认</x:v>
      </x:c>
      <x:c r="E112" s="6" t="str">
        <x:v>梁</x:v>
      </x:c>
      <x:c r="F112" s="19" t="str">
        <x:v>2D</x:v>
      </x:c>
      <x:c r="G112" s="6" t="str">
        <x:v>边界澄清</x:v>
      </x:c>
      <x:c r="H112" s="19" t="str">
        <x:v>L2</x:v>
      </x:c>
      <x:c r="I112" s="6" t="str">
        <x:v>端部竖向支承与端固支的自由度差异影响内力</x:v>
      </x:c>
      <x:c r="J112" s="19" t="str">
        <x:v>中文</x:v>
      </x:c>
      <x:c r="K112" s="6" t="str">
        <x:v>文本2轮＋完整属性附件（仅暂缺项除外）</x:v>
      </x:c>
      <x:c r="L112" s="23" t="n">
        <x:v>2</x:v>
      </x:c>
      <x:c r="M112" s="6" t="str">
        <x:v>T1所用独立模型为M-INT-011（端部加粗的撑杆梁）。T1给M-INT-011但右端只写有支承；T2确认仅约束竖向、水平与转角释放。</x:v>
      </x:c>
      <x:c r="N112" s="6" t="str">
        <x:v>固支加滚支不能误作普通简支；截面分组的独立状态保持</x:v>
      </x:c>
      <x:c r="O112" s="6" t="str">
        <x:v>x=3.5m的Uz与右支座Rz；所有值附位置、方向、单位、工况及当前轮次；澄清前不编造数值。</x:v>
      </x:c>
      <x:c r="P112" s="6" t="str">
        <x:v>追问右支承约束而不改左固支；最终仍为超静定梁；点力位置x=5m不变；5～7m端部加强段不变。</x:v>
      </x:c>
      <x:c r="Q112" s="19" t="str">
        <x:v>新增</x:v>
      </x:c>
      <x:c r="R112" s="6" t="str">
        <x:v>无</x:v>
      </x:c>
      <x:c r="S112" s="6" t="str">
        <x:v>无</x:v>
      </x:c>
      <x:c r="T112" s="6" t="str">
        <x:v>新增交互场景；独立起始模型来源另见M-INT-011，不把同基础模型计为旧交互题沿用。该题已有独立物理改动，不与其他任务共享模型。</x:v>
      </x:c>
      <x:c r="U112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2" s="6" t="str">
        <x:v>基础工具；逐轮状态与目标/非目标差异评测待实现</x:v>
      </x:c>
      <x:c r="W112" s="6" t="str">
        <x:v>规划，待编题与验证</x:v>
      </x:c>
      <x:c r="X112" s="6" t="str">
        <x:v>OpenSees</x:v>
      </x:c>
      <x:c r="Y112" s="19" t="str">
        <x:v>OpenSees</x:v>
      </x:c>
      <x:c r="Z112" s="6" t="str">
        <x:v>2D梁的边界澄清，重点是固支加滚支不能误作普通简支，用显式杆系模型核对状态与响应。</x:v>
      </x:c>
      <x:c r="AA112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2" s="6" t="str">
        <x:v>待逐题验证</x:v>
      </x:c>
      <x:c r="AC112" s="6" t="str">
        <x:v>未逐题验收；前置检查项：基础工具，并核对边界澄清后的模型更新和结果定位；不把一般OpenSees支持等同于当前StructureClaw已实现。</x:v>
      </x:c>
      <x:c r="AD112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3.5m的Uz与右支座Rz。</x:v>
      </x:c>
      <x:c r="AF112" s="6" t="str">
        <x:v>OPS；COMMON</x:v>
      </x:c>
    </x:row>
    <x:row r="113" ht="67.5" customHeight="1">
      <x:c r="A113" s="14" t="str">
        <x:v>INT-012</x:v>
      </x:c>
      <x:c r="B113" s="11" t="str">
        <x:v>交互鲁棒性</x:v>
      </x:c>
      <x:c r="C113" s="18" t="str">
        <x:v>M-INT-012</x:v>
      </x:c>
      <x:c r="D113" s="11" t="str">
        <x:v>倾斜梁全局方向确认后改力</x:v>
      </x:c>
      <x:c r="E113" s="11" t="str">
        <x:v>梁</x:v>
      </x:c>
      <x:c r="F113" s="18" t="str">
        <x:v>2D</x:v>
      </x:c>
      <x:c r="G113" s="11" t="str">
        <x:v>坐标澄清与局部更新</x:v>
      </x:c>
      <x:c r="H113" s="18" t="str">
        <x:v>L3</x:v>
      </x:c>
      <x:c r="I113" s="11" t="str">
        <x:v>全局与杆件局部方向需与后续力值共同保持</x:v>
      </x:c>
      <x:c r="J113" s="18" t="str">
        <x:v>英文</x:v>
      </x:c>
      <x:c r="K113" s="11" t="str">
        <x:v>文本3轮＋完整属性附件（仅暂缺项除外）</x:v>
      </x:c>
      <x:c r="L113" s="22" t="n">
        <x:v>3</x:v>
      </x:c>
      <x:c r="M113" s="11" t="str">
        <x:v>T1所用独立模型为M-INT-012（竖向点力及水平端力的倾斜梁）。T1给M-INT-012，集中力设在水平投影x=3m，大小20kN但未给方向；T2确认全局Z负向；T3大小改25kN。</x:v>
      </x:c>
      <x:c r="N113" s="11" t="str">
        <x:v>全局方向与杆件方向的区别；荷载分量的独立状态保持</x:v>
      </x:c>
      <x:c r="O113" s="11" t="str">
        <x:v>作用点(3,1.5)m的Ux/Uz及固端My；所有值附位置、方向、单位、工况及当前轮次；澄清前不编造数值。</x:v>
      </x:c>
      <x:c r="P113" s="11" t="str">
        <x:v>作用点为杆中(3,1.5)m；力向量保持全局竖直；不改为局部法向或端力；自由端8kN水平力不随主点力修改。</x:v>
      </x:c>
      <x:c r="Q113" s="18" t="str">
        <x:v>新增</x:v>
      </x:c>
      <x:c r="R113" s="11" t="str">
        <x:v>无</x:v>
      </x:c>
      <x:c r="S113" s="11" t="str">
        <x:v>无</x:v>
      </x:c>
      <x:c r="T113" s="11" t="str">
        <x:v>新增交互场景；独立起始模型来源另见M-INT-012，不把同基础模型计为旧交互题沿用。该题已有独立物理改动，不与其他任务共享模型。</x:v>
      </x:c>
      <x:c r="U113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3" s="11" t="str">
        <x:v>斜杆荷载与局部轴需验证；逐轮状态与目标/非目标差异评测待实现</x:v>
      </x:c>
      <x:c r="W113" s="11" t="str">
        <x:v>规划，待编题与验证</x:v>
      </x:c>
      <x:c r="X113" s="11" t="str">
        <x:v>OpenSees</x:v>
      </x:c>
      <x:c r="Y113" s="18" t="str">
        <x:v>OpenSees</x:v>
      </x:c>
      <x:c r="Z113" s="11" t="str">
        <x:v>倾斜杆上的全局力方向与投影位置澄清属于杆件力学表达</x:v>
      </x:c>
      <x:c r="AA113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3" s="11" t="str">
        <x:v>待逐题验证</x:v>
      </x:c>
      <x:c r="AC113" s="11" t="str">
        <x:v>未逐题验收；前置检查项：斜杆荷载与局部轴需验证，并核对坐标澄清与局部更新后的模型更新和结果定位；不把一般OpenSees支持等同于当前StructureClaw已实现。</x:v>
      </x:c>
      <x:c r="AD113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作用点(3,1.5)m的Ux/Uz及固端My。</x:v>
      </x:c>
      <x:c r="AF113" s="11" t="str">
        <x:v>OPS；COMMON</x:v>
      </x:c>
    </x:row>
    <x:row r="114" ht="67.5" customHeight="1">
      <x:c r="A114" s="15" t="str">
        <x:v>INT-013</x:v>
      </x:c>
      <x:c r="B114" s="6" t="str">
        <x:v>交互鲁棒性</x:v>
      </x:c>
      <x:c r="C114" s="19" t="str">
        <x:v>M-INT-013</x:v>
      </x:c>
      <x:c r="D114" s="6" t="str">
        <x:v>只替换中段截面</x:v>
      </x:c>
      <x:c r="E114" s="6" t="str">
        <x:v>梁</x:v>
      </x:c>
      <x:c r="F114" s="19" t="str">
        <x:v>2D</x:v>
      </x:c>
      <x:c r="G114" s="6" t="str">
        <x:v>成员组定向更新</x:v>
      </x:c>
      <x:c r="H114" s="19" t="str">
        <x:v>L2</x:v>
      </x:c>
      <x:c r="I114" s="6" t="str">
        <x:v>中段属性替换不能广播到整根梁</x:v>
      </x:c>
      <x:c r="J114" s="19" t="str">
        <x:v>中文</x:v>
      </x:c>
      <x:c r="K114" s="6" t="str">
        <x:v>文本2轮＋完整属性附件（仅暂缺项除外）</x:v>
      </x:c>
      <x:c r="L114" s="23" t="n">
        <x:v>2</x:v>
      </x:c>
      <x:c r="M114" s="6" t="str">
        <x:v>T1所用独立模型为M-INT-013（三段截面梁附加左支座节点力）。T1建立M-INT-013，附件给B1/B2/B3完整属性；T2仅3～6m段改用新增B4属性记录。</x:v>
      </x:c>
      <x:c r="N114" s="6" t="str">
        <x:v>分段截面赋值和共节点连续性；荷载位置的独立状态保持</x:v>
      </x:c>
      <x:c r="O114" s="6" t="str">
        <x:v>x=4.5m的Uz及左支座Rz；所有值附位置、方向、单位、工况及当前轮次；澄清前不编造数值。</x:v>
      </x:c>
      <x:c r="P114" s="6" t="str">
        <x:v>两外段保留B1/B3；节点和12kN/m不变；B4实物属性按给定记录；左支座15kN节点力独立保留，不挪入梁跨内。</x:v>
      </x:c>
      <x:c r="Q114" s="19" t="str">
        <x:v>新增</x:v>
      </x:c>
      <x:c r="R114" s="6" t="str">
        <x:v>无</x:v>
      </x:c>
      <x:c r="S114" s="6" t="str">
        <x:v>无</x:v>
      </x:c>
      <x:c r="T114" s="6" t="str">
        <x:v>新增交互场景；独立起始模型来源另见M-INT-013，不把同基础模型计为旧交互题沿用。该题已有独立物理改动，不与其他任务共享模型。</x:v>
      </x:c>
      <x:c r="U11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4" s="6" t="str">
        <x:v>基础工具；逐轮状态与目标/非目标差异评测待实现</x:v>
      </x:c>
      <x:c r="W114" s="6" t="str">
        <x:v>规划，待编题与验证</x:v>
      </x:c>
      <x:c r="X114" s="6" t="str">
        <x:v>OpenSees</x:v>
      </x:c>
      <x:c r="Y114" s="19" t="str">
        <x:v>OpenSees</x:v>
      </x:c>
      <x:c r="Z114" s="6" t="str">
        <x:v>2D梁的成员组定向更新，重点是分段截面赋值和共节点连续性，用显式杆系模型核对状态与响应。</x:v>
      </x:c>
      <x:c r="AA11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4" s="6" t="str">
        <x:v>待逐题验证</x:v>
      </x:c>
      <x:c r="AC114" s="6" t="str">
        <x:v>未逐题验收；前置检查项：基础工具，并核对成员组定向更新后的模型更新和结果定位；不把一般OpenSees支持等同于当前StructureClaw已实现。</x:v>
      </x:c>
      <x:c r="AD114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4.5m的Uz及左支座Rz。</x:v>
      </x:c>
      <x:c r="AF114" s="6" t="str">
        <x:v>OPS；COMMON</x:v>
      </x:c>
    </x:row>
    <x:row r="115" ht="67.5" customHeight="1">
      <x:c r="A115" s="14" t="str">
        <x:v>INT-014</x:v>
      </x:c>
      <x:c r="B115" s="11" t="str">
        <x:v>交互鲁棒性</x:v>
      </x:c>
      <x:c r="C115" s="18" t="str">
        <x:v>M-INT-014</x:v>
      </x:c>
      <x:c r="D115" s="11" t="str">
        <x:v>分段材料冲突与集中力修改</x:v>
      </x:c>
      <x:c r="E115" s="11" t="str">
        <x:v>梁</x:v>
      </x:c>
      <x:c r="F115" s="18" t="str">
        <x:v>2D</x:v>
      </x:c>
      <x:c r="G115" s="11" t="str">
        <x:v>冲突解决加复合更新</x:v>
      </x:c>
      <x:c r="H115" s="18" t="str">
        <x:v>L3</x:v>
      </x:c>
      <x:c r="I115" s="11" t="str">
        <x:v>材料区界、局部载与点力三种分段叠加</x:v>
      </x:c>
      <x:c r="J115" s="18" t="str">
        <x:v>英文</x:v>
      </x:c>
      <x:c r="K115" s="11" t="str">
        <x:v>文本3轮＋完整属性附件（仅暂缺项除外）</x:v>
      </x:c>
      <x:c r="L115" s="22" t="n">
        <x:v>3</x:v>
      </x:c>
      <x:c r="M115" s="11" t="str">
        <x:v>T1所用独立模型为M-INT-014（材料分段梁带端部力矩）。T1给M-INT-014但x=4～10m同时引用M1和M2；T2确认该段M2且0～4m为M1；T3把x=6m的25kN改35kN。</x:v>
      </x:c>
      <x:c r="N115" s="11" t="str">
        <x:v>材料、分段、点载和加载区间需联合映射；荷载类型的独立状态保持</x:v>
      </x:c>
      <x:c r="O115" s="11" t="str">
        <x:v>x=5m的Uz及右支座Rz；所有值附位置、方向、单位、工况及当前轮次；澄清前不编造数值。</x:v>
      </x:c>
      <x:c r="P115" s="11" t="str">
        <x:v>材料分区只在4m换；均布区仍2～8m；只替换点力大小，不累加；右端-8kN·m力矩始终保持。</x:v>
      </x:c>
      <x:c r="Q115" s="18" t="str">
        <x:v>新增</x:v>
      </x:c>
      <x:c r="R115" s="11" t="str">
        <x:v>无</x:v>
      </x:c>
      <x:c r="S115" s="11" t="str">
        <x:v>无</x:v>
      </x:c>
      <x:c r="T115" s="11" t="str">
        <x:v>新增交互场景；独立起始模型来源另见M-INT-014，不把同基础模型计为旧交互题沿用。该题已有独立物理改动，不与其他任务共享模型。</x:v>
      </x:c>
      <x:c r="U11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5" s="11" t="str">
        <x:v>基础工具；节点力矩输入需验证；逐轮状态与目标/非目标差异评测待实现</x:v>
      </x:c>
      <x:c r="W115" s="11" t="str">
        <x:v>规划，待编题与验证</x:v>
      </x:c>
      <x:c r="X115" s="11" t="str">
        <x:v>OpenSees</x:v>
      </x:c>
      <x:c r="Y115" s="18" t="str">
        <x:v>OpenSees</x:v>
      </x:c>
      <x:c r="Z115" s="11" t="str">
        <x:v>2D梁的冲突解决加复合更新，重点是材料、分段、点载和加载区间需联合映射，用显式杆系模型核对状态与响应。</x:v>
      </x:c>
      <x:c r="AA11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5" s="11" t="str">
        <x:v>待逐题验证</x:v>
      </x:c>
      <x:c r="AC115" s="11" t="str">
        <x:v>未逐题验收；前置检查项：基础工具；节点力矩输入需验证，并核对冲突解决加复合更新后的模型更新和结果定位；不把一般OpenSees支持等同于当前StructureClaw已实现。</x:v>
      </x:c>
      <x:c r="AD115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5m的Uz及右支座Rz。</x:v>
      </x:c>
      <x:c r="AF115" s="11" t="str">
        <x:v>OPS；COMMON</x:v>
      </x:c>
    </x:row>
    <x:row r="116" ht="67.5" customHeight="1">
      <x:c r="A116" s="15" t="str">
        <x:v>INT-015</x:v>
      </x:c>
      <x:c r="B116" s="6" t="str">
        <x:v>交互鲁棒性</x:v>
      </x:c>
      <x:c r="C116" s="19" t="str">
        <x:v>M-INT-015</x:v>
      </x:c>
      <x:c r="D116" s="6" t="str">
        <x:v>双跨梁第二跨补全</x:v>
      </x:c>
      <x:c r="E116" s="6" t="str">
        <x:v>连续梁</x:v>
      </x:c>
      <x:c r="F116" s="19" t="str">
        <x:v>2D</x:v>
      </x:c>
      <x:c r="G116" s="6" t="str">
        <x:v>缺项澄清后计算</x:v>
      </x:c>
      <x:c r="H116" s="19" t="str">
        <x:v>L2</x:v>
      </x:c>
      <x:c r="I116" s="6" t="str">
        <x:v>遗漏的是独立第二跨长度，不可复制第一跨</x:v>
      </x:c>
      <x:c r="J116" s="19" t="str">
        <x:v>中文</x:v>
      </x:c>
      <x:c r="K116" s="6" t="str">
        <x:v>文本2轮＋完整属性附件（仅暂缺项除外）</x:v>
      </x:c>
      <x:c r="L116" s="23" t="n">
        <x:v>2</x:v>
      </x:c>
      <x:c r="M116" s="6" t="str">
        <x:v>T1所用独立模型为M-INT-015（第二跨有偏置点载的连续梁）。T1给M-INT-015首跨5m、12kN/m及完整属性但不写第二跨；T2补充第二跨6m。</x:v>
      </x:c>
      <x:c r="N116" s="6" t="str">
        <x:v>中间支座不意味着梁断开；荷载分布的独立状态保持</x:v>
      </x:c>
      <x:c r="O116" s="6" t="str">
        <x:v>第二跨中点x=8m的Uz及中支座Rz；所有值附位置、方向、单位、工况及当前轮次；澄清前不编造数值。</x:v>
      </x:c>
      <x:c r="P116" s="6" t="str">
        <x:v>中支座x=5、右支座x=11m；不补成5+5；中支座两侧保持连续；第二跨点力18kN与全跨12kN/m均保留；若已有信息可唯一推得缺项，接受说明依据后直接完成，否则再澄清。</x:v>
      </x:c>
      <x:c r="Q116" s="19" t="str">
        <x:v>旧题改编</x:v>
      </x:c>
      <x:c r="R116" s="6" t="str">
        <x:v>robust-dspan-missing-second-span</x:v>
      </x:c>
      <x:c r="S116" s="6" t="str">
        <x:v>无</x:v>
      </x:c>
      <x:c r="T116" s="6" t="str">
        <x:v>旧题交互机制迁入M-INT-015；补齐属性、完成计算与更新不变量；本行轮次为新契约，旧数字不直接沿用。该题已有独立物理改动，不与其他任务共享模型。</x:v>
      </x:c>
      <x:c r="U11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6" s="6" t="str">
        <x:v>基础工具；逐轮状态与目标/非目标差异评测待实现</x:v>
      </x:c>
      <x:c r="W116" s="6" t="str">
        <x:v>规划，待编题与验证</x:v>
      </x:c>
      <x:c r="X116" s="6" t="str">
        <x:v>OpenSees</x:v>
      </x:c>
      <x:c r="Y116" s="19" t="str">
        <x:v>OpenSees</x:v>
      </x:c>
      <x:c r="Z116" s="6" t="str">
        <x:v>2D连续梁的缺项澄清后计算，重点是中间支座不意味着梁断开，用显式杆系模型核对状态与响应。</x:v>
      </x:c>
      <x:c r="AA11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6" s="6" t="str">
        <x:v>待逐题验证</x:v>
      </x:c>
      <x:c r="AC116" s="6" t="str">
        <x:v>未逐题验收；前置检查项：基础工具，并核对缺项澄清后计算后的模型更新和结果定位；不把一般OpenSees支持等同于当前StructureClaw已实现。</x:v>
      </x:c>
      <x:c r="AD11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第二跨中点x=8m的Uz及中支座Rz。</x:v>
      </x:c>
      <x:c r="AF116" s="6" t="str">
        <x:v>OPS；COMMON</x:v>
      </x:c>
    </x:row>
    <x:row r="117" ht="67.5" customHeight="1">
      <x:c r="A117" s="14" t="str">
        <x:v>INT-016</x:v>
      </x:c>
      <x:c r="B117" s="11" t="str">
        <x:v>交互鲁棒性</x:v>
      </x:c>
      <x:c r="C117" s="18" t="str">
        <x:v>M-INT-016</x:v>
      </x:c>
      <x:c r="D117" s="11" t="str">
        <x:v>第二跨点载的局部坐标确认</x:v>
      </x:c>
      <x:c r="E117" s="11" t="str">
        <x:v>连续梁</x:v>
      </x:c>
      <x:c r="F117" s="18" t="str">
        <x:v>2D</x:v>
      </x:c>
      <x:c r="G117" s="11" t="str">
        <x:v>位置语义澄清</x:v>
      </x:c>
      <x:c r="H117" s="18" t="str">
        <x:v>L2</x:v>
      </x:c>
      <x:c r="I117" s="11" t="str">
        <x:v>长跨局部坐标需要明确起点再换算</x:v>
      </x:c>
      <x:c r="J117" s="18" t="str">
        <x:v>英文</x:v>
      </x:c>
      <x:c r="K117" s="11" t="str">
        <x:v>文本2轮＋完整属性附件（仅暂缺项除外）</x:v>
      </x:c>
      <x:c r="L117" s="22" t="n">
        <x:v>2</x:v>
      </x:c>
      <x:c r="M117" s="11" t="str">
        <x:v>T1所用独立模型为M-INT-016（首跨及长跨刚度不同的双跨梁）。T1给M-INT-016，点力位置只写长跨内3.5m；T2确认从中间支座向右量。</x:v>
      </x:c>
      <x:c r="N117" s="11" t="str">
        <x:v>长跨局部坐标换算与连续支座；截面分组的独立状态保持</x:v>
      </x:c>
      <x:c r="O117" s="11" t="str">
        <x:v>长跨中点x=7.5m的Uz及中支座Rz；所有值附位置、方向、单位、工况及当前轮次；澄清前不编造数值。</x:v>
      </x:c>
      <x:c r="P117" s="11" t="str">
        <x:v>点载全球x=7.5m；不能使用x=3.5；支座在0、4、11m；4m首跨B1、7m长跨B2不变；若已有信息可唯一推得缺项，接受说明依据后直接完成，否则再澄清。</x:v>
      </x:c>
      <x:c r="Q117" s="18" t="str">
        <x:v>新增</x:v>
      </x:c>
      <x:c r="R117" s="11" t="str">
        <x:v>无</x:v>
      </x:c>
      <x:c r="S117" s="11" t="str">
        <x:v>无</x:v>
      </x:c>
      <x:c r="T117" s="11" t="str">
        <x:v>新增交互场景；独立起始模型来源另见M-INT-016，不把同基础模型计为旧交互题沿用。该题已有独立物理改动，不与其他任务共享模型。</x:v>
      </x:c>
      <x:c r="U11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7" s="11" t="str">
        <x:v>基础工具；逐轮状态与目标/非目标差异评测待实现</x:v>
      </x:c>
      <x:c r="W117" s="11" t="str">
        <x:v>规划，待编题与验证</x:v>
      </x:c>
      <x:c r="X117" s="11" t="str">
        <x:v>OpenSees</x:v>
      </x:c>
      <x:c r="Y117" s="18" t="str">
        <x:v>OpenSees</x:v>
      </x:c>
      <x:c r="Z117" s="11" t="str">
        <x:v>2D连续梁的位置语义澄清，重点是长跨局部坐标换算与连续支座，用显式杆系模型核对状态与响应。</x:v>
      </x:c>
      <x:c r="AA11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7" s="11" t="str">
        <x:v>待逐题验证</x:v>
      </x:c>
      <x:c r="AC117" s="11" t="str">
        <x:v>未逐题验收；前置检查项：基础工具，并核对位置语义澄清后的模型更新和结果定位；不把一般OpenSees支持等同于当前StructureClaw已实现。</x:v>
      </x:c>
      <x:c r="AD117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长跨中点x=7.5m的Uz及中支座Rz。</x:v>
      </x:c>
      <x:c r="AF117" s="11" t="str">
        <x:v>OPS；COMMON</x:v>
      </x:c>
    </x:row>
    <x:row r="118" ht="67.5" customHeight="1">
      <x:c r="A118" s="15" t="str">
        <x:v>INT-017</x:v>
      </x:c>
      <x:c r="B118" s="6" t="str">
        <x:v>交互鲁棒性</x:v>
      </x:c>
      <x:c r="C118" s="19" t="str">
        <x:v>M-INT-017</x:v>
      </x:c>
      <x:c r="D118" s="6" t="str">
        <x:v>三跨梁错误跨度修正</x:v>
      </x:c>
      <x:c r="E118" s="6" t="str">
        <x:v>连续梁</x:v>
      </x:c>
      <x:c r="F118" s="19" t="str">
        <x:v>2D</x:v>
      </x:c>
      <x:c r="G118" s="6" t="str">
        <x:v>无效值修正后完成</x:v>
      </x:c>
      <x:c r="H118" s="19" t="str">
        <x:v>L2</x:v>
      </x:c>
      <x:c r="I118" s="6" t="str">
        <x:v>长度负号应纠正而非自动取绝对值</x:v>
      </x:c>
      <x:c r="J118" s="19" t="str">
        <x:v>中文</x:v>
      </x:c>
      <x:c r="K118" s="6" t="str">
        <x:v>文本2轮＋完整属性附件（仅暂缺项除外）</x:v>
      </x:c>
      <x:c r="L118" s="23" t="n">
        <x:v>2</x:v>
      </x:c>
      <x:c r="M118" s="6" t="str">
        <x:v>T1所用独立模型为M-INT-017（首跨无载的三跨连续梁）。T1给M-INT-017但第三跨数值录入为-4m；T2确认录入笔误，第三跨为4m。</x:v>
      </x:c>
      <x:c r="N118" s="6" t="str">
        <x:v>三跨连通和四支座约束；荷载分布的独立状态保持</x:v>
      </x:c>
      <x:c r="O118" s="6" t="str">
        <x:v>中跨中点x=6.5m的Uz及x=4m支座Rz；所有值附位置、方向、单位、工况及当前轮次；澄清前不编造数值。</x:v>
      </x:c>
      <x:c r="P118" s="6" t="str">
        <x:v>首轮指出第三跨问题；不先分析；最终0、4、9、13m四支座，15kN/m仅中末两跨；首跨保持无均布载，后两跨15kN/m。</x:v>
      </x:c>
      <x:c r="Q118" s="19" t="str">
        <x:v>旧题改编</x:v>
      </x:c>
      <x:c r="R118" s="6" t="str">
        <x:v>robust-dspan-negative-span</x:v>
      </x:c>
      <x:c r="S118" s="6" t="str">
        <x:v>无</x:v>
      </x:c>
      <x:c r="T118" s="6" t="str">
        <x:v>旧题交互机制迁入M-INT-017；补齐属性、完成计算与更新不变量；本行轮次为新契约，旧数字不直接沿用。该题已有独立物理改动，不与其他任务共享模型。</x:v>
      </x:c>
      <x:c r="U11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8" s="6" t="str">
        <x:v>基础工具；逐轮状态与目标/非目标差异评测待实现</x:v>
      </x:c>
      <x:c r="W118" s="6" t="str">
        <x:v>规划，待编题与验证</x:v>
      </x:c>
      <x:c r="X118" s="6" t="str">
        <x:v>OpenSees</x:v>
      </x:c>
      <x:c r="Y118" s="19" t="str">
        <x:v>OpenSees</x:v>
      </x:c>
      <x:c r="Z118" s="6" t="str">
        <x:v>2D连续梁的无效值修正后完成，重点是三跨连通和四支座约束，用显式杆系模型核对状态与响应。</x:v>
      </x:c>
      <x:c r="AA11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8" s="6" t="str">
        <x:v>待逐题验证</x:v>
      </x:c>
      <x:c r="AC118" s="6" t="str">
        <x:v>未逐题验收；前置检查项：基础工具，并核对无效值修正后完成后的模型更新和结果定位；不把一般OpenSees支持等同于当前StructureClaw已实现。</x:v>
      </x:c>
      <x:c r="AD11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中跨中点x=6.5m的Uz及x=4m支座Rz。</x:v>
      </x:c>
      <x:c r="AF118" s="6" t="str">
        <x:v>OPS；COMMON</x:v>
      </x:c>
    </x:row>
    <x:row r="119" ht="67.5" customHeight="1">
      <x:c r="A119" s="14" t="str">
        <x:v>INT-018</x:v>
      </x:c>
      <x:c r="B119" s="11" t="str">
        <x:v>交互鲁棒性</x:v>
      </x:c>
      <x:c r="C119" s="18" t="str">
        <x:v>M-INT-018</x:v>
      </x:c>
      <x:c r="D119" s="11" t="str">
        <x:v>不加载的第二跨确认对照</x:v>
      </x:c>
      <x:c r="E119" s="11" t="str">
        <x:v>连续梁</x:v>
      </x:c>
      <x:c r="F119" s="18" t="str">
        <x:v>2D</x:v>
      </x:c>
      <x:c r="G119" s="11" t="str">
        <x:v>完整信息直接执行</x:v>
      </x:c>
      <x:c r="H119" s="18" t="str">
        <x:v>L1</x:v>
      </x:c>
      <x:c r="I119" s="11" t="str">
        <x:v>明确零载区是合法输入，考查是否无端追问</x:v>
      </x:c>
      <x:c r="J119" s="18" t="str">
        <x:v>英文</x:v>
      </x:c>
      <x:c r="K119" s="11" t="str">
        <x:v>文本单轮＋完整属性附件（仅暂缺项除外）</x:v>
      </x:c>
      <x:c r="L119" s="22" t="n">
        <x:v>1</x:v>
      </x:c>
      <x:c r="M119" s="11" t="str">
        <x:v>T1所用独立模型为M-INT-018（仅第一跨加载且中支座外加力的梁）。T1完整给出M-INT-018，强调第二跨跨内无外荷载但梁存在，中支座另有25kN节点力，直接分析两跨响应。</x:v>
      </x:c>
      <x:c r="N119" s="11" t="str">
        <x:v>无载跨不能补载或删除；荷载位置的独立状态保持</x:v>
      </x:c>
      <x:c r="O119" s="11" t="str">
        <x:v>第二跨中点x=8.5m的Uz及中支座Rz；所有值附位置、方向、单位、工况及当前轮次；澄清前不编造数值。</x:v>
      </x:c>
      <x:c r="P119" s="11" t="str">
        <x:v>不把第二跨跨内零载当缺项；不补载或删除第二跨；仍输出中支座反力；第二跨梁保留且跨内无载，中支座节点力不得挪入跨内。</x:v>
      </x:c>
      <x:c r="Q119" s="18" t="str">
        <x:v>新增</x:v>
      </x:c>
      <x:c r="R119" s="11" t="str">
        <x:v>无</x:v>
      </x:c>
      <x:c r="S119" s="11" t="str">
        <x:v>无</x:v>
      </x:c>
      <x:c r="T119" s="11" t="str">
        <x:v>新增交互场景；独立起始模型来源另见M-INT-018，不把同基础模型计为旧交互题沿用。该题已有独立物理改动，不与其他任务共享模型。</x:v>
      </x:c>
      <x:c r="U11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19" s="11" t="str">
        <x:v>基础工具；逐轮状态与目标/非目标差异评测待实现</x:v>
      </x:c>
      <x:c r="W119" s="11" t="str">
        <x:v>规划，待编题与验证</x:v>
      </x:c>
      <x:c r="X119" s="11" t="str">
        <x:v>OpenSees</x:v>
      </x:c>
      <x:c r="Y119" s="18" t="str">
        <x:v>OpenSees</x:v>
      </x:c>
      <x:c r="Z119" s="11" t="str">
        <x:v>2D连续梁的完整信息直接执行，重点是无载跨不能补载或删除，用显式杆系模型核对状态与响应。</x:v>
      </x:c>
      <x:c r="AA11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19" s="11" t="str">
        <x:v>待逐题验证</x:v>
      </x:c>
      <x:c r="AC119" s="11" t="str">
        <x:v>未逐题验收；前置检查项：基础工具，并核对完整信息直接执行后的模型更新和结果定位；不把一般OpenSees支持等同于当前StructureClaw已实现。</x:v>
      </x:c>
      <x:c r="AD119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1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第二跨中点x=8.5m的Uz及中支座Rz。</x:v>
      </x:c>
      <x:c r="AF119" s="11" t="str">
        <x:v>OPS；COMMON</x:v>
      </x:c>
    </x:row>
    <x:row r="120" ht="81" customHeight="1">
      <x:c r="A120" s="15" t="str">
        <x:v>INT-019</x:v>
      </x:c>
      <x:c r="B120" s="6" t="str">
        <x:v>交互鲁棒性</x:v>
      </x:c>
      <x:c r="C120" s="19" t="str">
        <x:v>M-INT-019</x:v>
      </x:c>
      <x:c r="D120" s="6" t="str">
        <x:v>交替活载组合系数二次修订</x:v>
      </x:c>
      <x:c r="E120" s="6" t="str">
        <x:v>连续梁</x:v>
      </x:c>
      <x:c r="F120" s="19" t="str">
        <x:v>2D</x:v>
      </x:c>
      <x:c r="G120" s="6" t="str">
        <x:v>多工况组合更新</x:v>
      </x:c>
      <x:c r="H120" s="19" t="str">
        <x:v>L3</x:v>
      </x:c>
      <x:c r="I120" s="6" t="str">
        <x:v>需保留三独立工况并只改指定组合系数</x:v>
      </x:c>
      <x:c r="J120" s="19" t="str">
        <x:v>中文</x:v>
      </x:c>
      <x:c r="K120" s="6" t="str">
        <x:v>文本3轮＋完整属性附件（仅暂缺项除外）</x:v>
      </x:c>
      <x:c r="L120" s="23" t="n">
        <x:v>3</x:v>
      </x:c>
      <x:c r="M120" s="6" t="str">
        <x:v>T1所用独立模型为M-INT-019（交替活载梁附加恒载点力）。T1建立M-INT-019，C2初值D+L1，另两组合按附件；T2仅将C2中L1系数改1.4；T3将C2中D系数改1.2。</x:v>
      </x:c>
      <x:c r="N120" s="6" t="str">
        <x:v>工况独立保存和组合系数正确；荷载分布的独立状态保持</x:v>
      </x:c>
      <x:c r="O120" s="6" t="str">
        <x:v>中跨中点x=7m的Uz及x=4m支座Rz，逐组合；所有值附位置、方向、单位、工况及当前轮次；澄清前不编造数值。</x:v>
      </x:c>
      <x:c r="P120" s="6" t="str">
        <x:v>最终C2=1.2D+1.4L1，其余组合不变；原始载荷强度不乘系数覆盖；中跨D点力20kN保留，不能计入L1或L2。</x:v>
      </x:c>
      <x:c r="Q120" s="19" t="str">
        <x:v>新增</x:v>
      </x:c>
      <x:c r="R120" s="6" t="str">
        <x:v>无</x:v>
      </x:c>
      <x:c r="S120" s="6" t="str">
        <x:v>无</x:v>
      </x:c>
      <x:c r="T120" s="6" t="str">
        <x:v>新增交互场景；独立起始模型来源另见M-INT-019，不把同基础模型计为旧交互题沿用。该题已有独立物理改动，不与其他任务共享模型。</x:v>
      </x:c>
      <x:c r="U120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0" s="6" t="str">
        <x:v>多组合执行契约需验证；逐轮状态与目标/非目标差异评测待实现</x:v>
      </x:c>
      <x:c r="W120" s="6" t="str">
        <x:v>规划，待编题与验证</x:v>
      </x:c>
      <x:c r="X120" s="6" t="str">
        <x:v>OpenSees</x:v>
      </x:c>
      <x:c r="Y120" s="19" t="str">
        <x:v>OpenSees</x:v>
      </x:c>
      <x:c r="Z120" s="6" t="str">
        <x:v>明确线性组合系数逐项修改，适合用OpenSees工况响应与显式组合复核</x:v>
      </x:c>
      <x:c r="AA120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0" s="6" t="str">
        <x:v>待逐题验证</x:v>
      </x:c>
      <x:c r="AC120" s="6" t="str">
        <x:v>未逐题验收；前置检查项：多组合执行契约需验证，并核对多工况组合更新后的模型更新和结果定位；不把一般OpenSees支持等同于当前StructureClaw已实现。</x:v>
      </x:c>
      <x:c r="AD120" s="6" t="str">
        <x:v>一阶线弹性静力；自重关闭；不自动施加刚性楼板/刚域、默认附加载或自动规范组合；严格保留题定约束、材料/截面完整属性、局部轴、荷载坐标与长度基准；单位逐字段明确。 保留独立原始工况及题定组合系数，修改组合不得覆盖原工况；各轮只执行明确修改，未被修改的字段保持；澄清内容按该轮生效。</x:v>
      </x:c>
      <x:c r="AE12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中跨中点x=7m的Uz及x=4m支座Rz，逐组合。</x:v>
      </x:c>
      <x:c r="AF120" s="6" t="str">
        <x:v>OPS；COMMON</x:v>
      </x:c>
    </x:row>
    <x:row r="121" ht="67.5" customHeight="1">
      <x:c r="A121" s="14" t="str">
        <x:v>INT-020</x:v>
      </x:c>
      <x:c r="B121" s="11" t="str">
        <x:v>交互鲁棒性</x:v>
      </x:c>
      <x:c r="C121" s="18" t="str">
        <x:v>M-INT-020</x:v>
      </x:c>
      <x:c r="D121" s="11" t="str">
        <x:v>跨度与各跨载荷错列纠正</x:v>
      </x:c>
      <x:c r="E121" s="11" t="str">
        <x:v>连续梁</x:v>
      </x:c>
      <x:c r="F121" s="18" t="str">
        <x:v>2D</x:v>
      </x:c>
      <x:c r="G121" s="11" t="str">
        <x:v>列表映射澄清</x:v>
      </x:c>
      <x:c r="H121" s="18" t="str">
        <x:v>L2</x:v>
      </x:c>
      <x:c r="I121" s="11" t="str">
        <x:v>两列表顺序冲突会导致相同总力但错误分布</x:v>
      </x:c>
      <x:c r="J121" s="18" t="str">
        <x:v>英文</x:v>
      </x:c>
      <x:c r="K121" s="11" t="str">
        <x:v>文本2轮＋完整属性附件（仅暂缺项除外）</x:v>
      </x:c>
      <x:c r="L121" s="22" t="n">
        <x:v>2</x:v>
      </x:c>
      <x:c r="M121" s="11" t="str">
        <x:v>T1所用独立模型为M-INT-020（不同跨度及刚度的递增长度连续梁）。T1给M-INT-020但文字说第三跨8kN/m而表为12；T2确认按表从左到右8、10、12kN/m。</x:v>
      </x:c>
      <x:c r="N121" s="11" t="str">
        <x:v>跨度列表与荷载列表一一对应；截面分组的独立状态保持</x:v>
      </x:c>
      <x:c r="O121" s="11" t="str">
        <x:v>第三跨中点x=11.5m的Uz及x=8m支座Rz；所有值附位置、方向、单位、工况及当前轮次；澄清前不编造数值。</x:v>
      </x:c>
      <x:c r="P121" s="11" t="str">
        <x:v>长度3、5、7m与荷载逐跨对应；只消除冲突，不能交换跨度顺序；中间5m跨B2保留，两外跨B1。</x:v>
      </x:c>
      <x:c r="Q121" s="18" t="str">
        <x:v>新增</x:v>
      </x:c>
      <x:c r="R121" s="11" t="str">
        <x:v>无</x:v>
      </x:c>
      <x:c r="S121" s="11" t="str">
        <x:v>无</x:v>
      </x:c>
      <x:c r="T121" s="11" t="str">
        <x:v>新增交互场景；独立起始模型来源另见M-INT-020，不把同基础模型计为旧交互题沿用。该题已有独立物理改动，不与其他任务共享模型。</x:v>
      </x:c>
      <x:c r="U12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1" s="11" t="str">
        <x:v>基础工具；逐轮状态与目标/非目标差异评测待实现</x:v>
      </x:c>
      <x:c r="W121" s="11" t="str">
        <x:v>规划，待编题与验证</x:v>
      </x:c>
      <x:c r="X121" s="11" t="str">
        <x:v>OpenSees</x:v>
      </x:c>
      <x:c r="Y121" s="18" t="str">
        <x:v>OpenSees</x:v>
      </x:c>
      <x:c r="Z121" s="11" t="str">
        <x:v>2D连续梁的列表映射澄清，重点是跨度列表与荷载列表一一对应，用显式杆系模型核对状态与响应。</x:v>
      </x:c>
      <x:c r="AA12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1" s="11" t="str">
        <x:v>待逐题验证</x:v>
      </x:c>
      <x:c r="AC121" s="11" t="str">
        <x:v>未逐题验收；前置检查项：基础工具，并核对列表映射澄清后的模型更新和结果定位；不把一般OpenSees支持等同于当前StructureClaw已实现。</x:v>
      </x:c>
      <x:c r="AD121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2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第三跨中点x=11.5m的Uz及x=8m支座Rz。</x:v>
      </x:c>
      <x:c r="AF121" s="11" t="str">
        <x:v>OPS；COMMON</x:v>
      </x:c>
    </x:row>
    <x:row r="122" ht="67.5" customHeight="1">
      <x:c r="A122" s="15" t="str">
        <x:v>INT-021</x:v>
      </x:c>
      <x:c r="B122" s="6" t="str">
        <x:v>交互鲁棒性</x:v>
      </x:c>
      <x:c r="C122" s="19" t="str">
        <x:v>M-INT-021</x:v>
      </x:c>
      <x:c r="D122" s="6" t="str">
        <x:v>连续梁第二跨截面改动</x:v>
      </x:c>
      <x:c r="E122" s="6" t="str">
        <x:v>连续梁</x:v>
      </x:c>
      <x:c r="F122" s="19" t="str">
        <x:v>2D</x:v>
      </x:c>
      <x:c r="G122" s="6" t="str">
        <x:v>成员组定向更新</x:v>
      </x:c>
      <x:c r="H122" s="19" t="str">
        <x:v>L2</x:v>
      </x:c>
      <x:c r="I122" s="6" t="str">
        <x:v>共用支座连续性和分跨刚度需同时保留</x:v>
      </x:c>
      <x:c r="J122" s="19" t="str">
        <x:v>中文</x:v>
      </x:c>
      <x:c r="K122" s="6" t="str">
        <x:v>文本2轮＋完整属性附件（仅暂缺项除外）</x:v>
      </x:c>
      <x:c r="L122" s="23" t="n">
        <x:v>2</x:v>
      </x:c>
      <x:c r="M122" s="6" t="str">
        <x:v>T1所用独立模型为M-INT-021（左端固结的双跨异截面梁）。T1建立M-INT-021；T2只将第二跨B2换成附件B3，第一跨不动。</x:v>
      </x:c>
      <x:c r="N122" s="6" t="str">
        <x:v>共用支座处节点连续但截面不同；边界的独立状态保持</x:v>
      </x:c>
      <x:c r="O122" s="6" t="str">
        <x:v>第二跨中点x=9m的Uz及左固端My；所有值附位置、方向、单位、工况及当前轮次；澄清前不编造数值。</x:v>
      </x:c>
      <x:c r="P122" s="6" t="str">
        <x:v>第二跨6～12m全用B3；共节点不断开；第一跨B1与10kN/m不变；最左端固定保持，不误恢复为铰支。</x:v>
      </x:c>
      <x:c r="Q122" s="19" t="str">
        <x:v>新增</x:v>
      </x:c>
      <x:c r="R122" s="6" t="str">
        <x:v>无</x:v>
      </x:c>
      <x:c r="S122" s="6" t="str">
        <x:v>无</x:v>
      </x:c>
      <x:c r="T122" s="6" t="str">
        <x:v>新增交互场景；独立起始模型来源另见M-INT-021，不把同基础模型计为旧交互题沿用。该题已有独立物理改动，不与其他任务共享模型。</x:v>
      </x:c>
      <x:c r="U122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2" s="6" t="str">
        <x:v>基础工具；逐轮状态与目标/非目标差异评测待实现</x:v>
      </x:c>
      <x:c r="W122" s="6" t="str">
        <x:v>规划，待编题与验证</x:v>
      </x:c>
      <x:c r="X122" s="6" t="str">
        <x:v>OpenSees</x:v>
      </x:c>
      <x:c r="Y122" s="19" t="str">
        <x:v>OpenSees</x:v>
      </x:c>
      <x:c r="Z122" s="6" t="str">
        <x:v>2D连续梁的成员组定向更新，重点是共用支座处节点连续但截面不同，用显式杆系模型核对状态与响应。</x:v>
      </x:c>
      <x:c r="AA122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2" s="6" t="str">
        <x:v>待逐题验证</x:v>
      </x:c>
      <x:c r="AC122" s="6" t="str">
        <x:v>未逐题验收；前置检查项：基础工具，并核对成员组定向更新后的模型更新和结果定位；不把一般OpenSees支持等同于当前StructureClaw已实现。</x:v>
      </x:c>
      <x:c r="AD122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2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第二跨中点x=9m的Uz及左固端My。</x:v>
      </x:c>
      <x:c r="AF122" s="6" t="str">
        <x:v>OPS；COMMON</x:v>
      </x:c>
    </x:row>
    <x:row r="123" ht="67.5" customHeight="1">
      <x:c r="A123" s="14" t="str">
        <x:v>INT-022</x:v>
      </x:c>
      <x:c r="B123" s="11" t="str">
        <x:v>交互鲁棒性</x:v>
      </x:c>
      <x:c r="C123" s="18" t="str">
        <x:v>M-INT-022</x:v>
      </x:c>
      <x:c r="D123" s="11" t="str">
        <x:v>连续梁外伸长度联动更新</x:v>
      </x:c>
      <x:c r="E123" s="11" t="str">
        <x:v>连续梁</x:v>
      </x:c>
      <x:c r="F123" s="18" t="str">
        <x:v>2D</x:v>
      </x:c>
      <x:c r="G123" s="11" t="str">
        <x:v>几何与端载联动</x:v>
      </x:c>
      <x:c r="H123" s="18" t="str">
        <x:v>L3</x:v>
      </x:c>
      <x:c r="I123" s="11" t="str">
        <x:v>端点移动时应跟随端力且固定原支座位置</x:v>
      </x:c>
      <x:c r="J123" s="18" t="str">
        <x:v>英文</x:v>
      </x:c>
      <x:c r="K123" s="11" t="str">
        <x:v>文本2轮＋完整属性附件（仅暂缺项除外）</x:v>
      </x:c>
      <x:c r="L123" s="22" t="n">
        <x:v>2</x:v>
      </x:c>
      <x:c r="M123" s="11" t="str">
        <x:v>T1所用独立模型为M-INT-022（仅外伸段加载的连续梁）。T1建立M-INT-022；T2将右外伸长度2m改3m，10kN仍作用于新自由端。</x:v>
      </x:c>
      <x:c r="N123" s="11" t="str">
        <x:v>连续跨、外伸段与端力同时定位；荷载分布的独立状态保持</x:v>
      </x:c>
      <x:c r="O123" s="11" t="str">
        <x:v>当前自由端Uz（初始x=12，更新后13m）及x=10m支座Rz；所有值附位置、方向、单位、工况及当前轮次；澄清前不编造数值。</x:v>
      </x:c>
      <x:c r="P123" s="11" t="str">
        <x:v>支座0、5、10m不变；端点到13m、端力跟随；8kN/m仅新外伸段延至新端；外伸变长后8kN/m只沿新外伸段作用，支承跨保持无均布载。</x:v>
      </x:c>
      <x:c r="Q123" s="18" t="str">
        <x:v>新增</x:v>
      </x:c>
      <x:c r="R123" s="11" t="str">
        <x:v>无</x:v>
      </x:c>
      <x:c r="S123" s="11" t="str">
        <x:v>无</x:v>
      </x:c>
      <x:c r="T123" s="11" t="str">
        <x:v>新增交互场景；独立起始模型来源另见M-INT-022，不把同基础模型计为旧交互题沿用。该题已有独立物理改动，不与其他任务共享模型。</x:v>
      </x:c>
      <x:c r="U123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3" s="11" t="str">
        <x:v>基础工具；逐轮状态与目标/非目标差异评测待实现</x:v>
      </x:c>
      <x:c r="W123" s="11" t="str">
        <x:v>规划，待编题与验证</x:v>
      </x:c>
      <x:c r="X123" s="11" t="str">
        <x:v>OpenSees</x:v>
      </x:c>
      <x:c r="Y123" s="18" t="str">
        <x:v>OpenSees</x:v>
      </x:c>
      <x:c r="Z123" s="11" t="str">
        <x:v>2D连续梁的几何与端载联动，重点是连续跨、外伸段与端力同时定位，用显式杆系模型核对状态与响应。</x:v>
      </x:c>
      <x:c r="AA123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3" s="11" t="str">
        <x:v>待逐题验证</x:v>
      </x:c>
      <x:c r="AC123" s="11" t="str">
        <x:v>未逐题验收；前置检查项：基础工具，并核对几何与端载联动后的模型更新和结果定位；不把一般OpenSees支持等同于当前StructureClaw已实现。</x:v>
      </x:c>
      <x:c r="AD123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2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当前自由端Uz（初始x=12，更新后13m）及x=10m支座Rz。</x:v>
      </x:c>
      <x:c r="AF123" s="11" t="str">
        <x:v>OPS；COMMON</x:v>
      </x:c>
    </x:row>
    <x:row r="124" ht="67.5" customHeight="1">
      <x:c r="A124" s="15" t="str">
        <x:v>INT-023</x:v>
      </x:c>
      <x:c r="B124" s="6" t="str">
        <x:v>交互鲁棒性</x:v>
      </x:c>
      <x:c r="C124" s="19" t="str">
        <x:v>M-INT-023</x:v>
      </x:c>
      <x:c r="D124" s="6" t="str">
        <x:v>支座点力与跨内点力分辨</x:v>
      </x:c>
      <x:c r="E124" s="6" t="str">
        <x:v>连续梁</x:v>
      </x:c>
      <x:c r="F124" s="19" t="str">
        <x:v>2D</x:v>
      </x:c>
      <x:c r="G124" s="6" t="str">
        <x:v>目标定位澄清</x:v>
      </x:c>
      <x:c r="H124" s="19" t="str">
        <x:v>L2</x:v>
      </x:c>
      <x:c r="I124" s="6" t="str">
        <x:v>两项同类荷载必须用节点位置消除指代歧义</x:v>
      </x:c>
      <x:c r="J124" s="19" t="str">
        <x:v>中文</x:v>
      </x:c>
      <x:c r="K124" s="6" t="str">
        <x:v>文本3轮＋完整属性附件（仅暂缺项除外）</x:v>
      </x:c>
      <x:c r="L124" s="23" t="n">
        <x:v>3</x:v>
      </x:c>
      <x:c r="M124" s="6" t="str">
        <x:v>T1所用独立模型为M-INT-023（首跨带上向局部载的双跨梁）。T1建立M-INT-023；T2要求把那个点力改25kN但不指明；T3确认第二跨中点那项。</x:v>
      </x:c>
      <x:c r="N124" s="6" t="str">
        <x:v>支座节点荷载不应挪到跨中；荷载分布的独立状态保持</x:v>
      </x:c>
      <x:c r="O124" s="6" t="str">
        <x:v>第二跨中点x=7m的Uz及中支座Rz；所有值附位置、方向、单位、工况及当前轮次；澄清前不编造数值。</x:v>
      </x:c>
      <x:c r="P124" s="6" t="str">
        <x:v>T2应追问目标；最终支座30kN不变、跨中20改25；不得同时改两项；上向局部载只在1～3m，不能随点力替换而删去；若已有信息可唯一推得缺项，接受说明依据后直接完成，否则再澄清。</x:v>
      </x:c>
      <x:c r="Q124" s="19" t="str">
        <x:v>新增</x:v>
      </x:c>
      <x:c r="R124" s="6" t="str">
        <x:v>无</x:v>
      </x:c>
      <x:c r="S124" s="6" t="str">
        <x:v>无</x:v>
      </x:c>
      <x:c r="T124" s="6" t="str">
        <x:v>新增交互场景；独立起始模型来源另见M-INT-023，不把同基础模型计为旧交互题沿用。该题已有独立物理改动，不与其他任务共享模型。</x:v>
      </x:c>
      <x:c r="U12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4" s="6" t="str">
        <x:v>基础工具；逐轮状态与目标/非目标差异评测待实现</x:v>
      </x:c>
      <x:c r="W124" s="6" t="str">
        <x:v>规划，待编题与验证</x:v>
      </x:c>
      <x:c r="X124" s="6" t="str">
        <x:v>OpenSees</x:v>
      </x:c>
      <x:c r="Y124" s="19" t="str">
        <x:v>OpenSees</x:v>
      </x:c>
      <x:c r="Z124" s="6" t="str">
        <x:v>2D连续梁的目标定位澄清，重点是支座节点荷载不应挪到跨中，用显式杆系模型核对状态与响应。</x:v>
      </x:c>
      <x:c r="AA12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4" s="6" t="str">
        <x:v>待逐题验证</x:v>
      </x:c>
      <x:c r="AC124" s="6" t="str">
        <x:v>未逐题验收；前置检查项：基础工具，并核对目标定位澄清后的模型更新和结果定位；不把一般OpenSees支持等同于当前StructureClaw已实现。</x:v>
      </x:c>
      <x:c r="AD124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2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第二跨中点x=7m的Uz及中支座Rz。</x:v>
      </x:c>
      <x:c r="AF124" s="6" t="str">
        <x:v>OPS；COMMON</x:v>
      </x:c>
    </x:row>
    <x:row r="125" ht="81" customHeight="1">
      <x:c r="A125" s="14" t="str">
        <x:v>INT-024</x:v>
      </x:c>
      <x:c r="B125" s="11" t="str">
        <x:v>交互鲁棒性</x:v>
      </x:c>
      <x:c r="C125" s="18" t="str">
        <x:v>M-INT-024</x:v>
      </x:c>
      <x:c r="D125" s="11" t="str">
        <x:v>上拔工况的负号合法性</x:v>
      </x:c>
      <x:c r="E125" s="11" t="str">
        <x:v>连续梁</x:v>
      </x:c>
      <x:c r="F125" s="18" t="str">
        <x:v>2D</x:v>
      </x:c>
      <x:c r="G125" s="11" t="str">
        <x:v>带符号荷载直接执行</x:v>
      </x:c>
      <x:c r="H125" s="18" t="str">
        <x:v>L2</x:v>
      </x:c>
      <x:c r="I125" s="11" t="str">
        <x:v>正反方向明确时负数不代表非法荷载</x:v>
      </x:c>
      <x:c r="J125" s="18" t="str">
        <x:v>英文</x:v>
      </x:c>
      <x:c r="K125" s="11" t="str">
        <x:v>文本单轮＋完整属性附件（仅暂缺项除外）</x:v>
      </x:c>
      <x:c r="L125" s="22" t="n">
        <x:v>1</x:v>
      </x:c>
      <x:c r="M125" s="11" t="str">
        <x:v>T1所用独立模型为M-INT-024（中跨较柔的正反载连续梁）。T1完整给M-INT-024及三组合，规定Z正向向上，D=-8、W=+6kN/m，直接分析。</x:v>
      </x:c>
      <x:c r="N125" s="11" t="str">
        <x:v>相反方向荷载及组合不能误删为非法；截面分组的独立状态保持</x:v>
      </x:c>
      <x:c r="O125" s="11" t="str">
        <x:v>中跨中点x=7.5m的Uz及x=5m支座Rz，逐组合；所有值附位置、方向、单位、工况及当前轮次；澄清前不编造数值。</x:v>
      </x:c>
      <x:c r="P125" s="11" t="str">
        <x:v>不将W取绝对值后转向下；不因相反方向拒算；D/W独立保留；中跨柔度分组与D/W符号同时保持。</x:v>
      </x:c>
      <x:c r="Q125" s="18" t="str">
        <x:v>新增</x:v>
      </x:c>
      <x:c r="R125" s="11" t="str">
        <x:v>无</x:v>
      </x:c>
      <x:c r="S125" s="11" t="str">
        <x:v>无</x:v>
      </x:c>
      <x:c r="T125" s="11" t="str">
        <x:v>新增交互场景；独立起始模型来源另见M-INT-024，不把同基础模型计为旧交互题沿用。该题已有独立物理改动，不与其他任务共享模型。</x:v>
      </x:c>
      <x:c r="U12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5" s="11" t="str">
        <x:v>多组合执行契约需验证；逐轮状态与目标/非目标差异评测待实现</x:v>
      </x:c>
      <x:c r="W125" s="11" t="str">
        <x:v>规划，待编题与验证</x:v>
      </x:c>
      <x:c r="X125" s="11" t="str">
        <x:v>OpenSees</x:v>
      </x:c>
      <x:c r="Y125" s="18" t="str">
        <x:v>OpenSees</x:v>
      </x:c>
      <x:c r="Z125" s="11" t="str">
        <x:v>反向线载及正负号属于线性杆系荷载表达，组合须独立复核</x:v>
      </x:c>
      <x:c r="AA12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5" s="11" t="str">
        <x:v>待逐题验证</x:v>
      </x:c>
      <x:c r="AC125" s="11" t="str">
        <x:v>未逐题验收；前置检查项：多组合执行契约需验证，并核对带符号荷载直接执行后的模型更新和结果定位；不把一般OpenSees支持等同于当前StructureClaw已实现。</x:v>
      </x:c>
      <x:c r="AD125" s="11" t="str">
        <x:v>一阶线弹性静力；自重关闭；不自动施加刚性楼板/刚域、默认附加载或自动规范组合；严格保留题定约束、材料/截面完整属性、局部轴、荷载坐标与长度基准；单位逐字段明确。 保留独立原始工况及题定组合系数，修改组合不得覆盖原工况；各轮只执行明确修改，未被修改的字段保持；澄清内容按该轮生效。</x:v>
      </x:c>
      <x:c r="AE12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中跨中点x=7.5m的Uz及x=5m支座Rz，逐组合。</x:v>
      </x:c>
      <x:c r="AF125" s="11" t="str">
        <x:v>OPS；COMMON</x:v>
      </x:c>
    </x:row>
    <x:row r="126" ht="67.5" customHeight="1">
      <x:c r="A126" s="15" t="str">
        <x:v>INT-025</x:v>
      </x:c>
      <x:c r="B126" s="6" t="str">
        <x:v>交互鲁棒性</x:v>
      </x:c>
      <x:c r="C126" s="19" t="str">
        <x:v>M-INT-025</x:v>
      </x:c>
      <x:c r="D126" s="6" t="str">
        <x:v>力矩单位缺失后补齐</x:v>
      </x:c>
      <x:c r="E126" s="6" t="str">
        <x:v>连续梁</x:v>
      </x:c>
      <x:c r="F126" s="19" t="str">
        <x:v>2D</x:v>
      </x:c>
      <x:c r="G126" s="6" t="str">
        <x:v>量纲澄清后计算</x:v>
      </x:c>
      <x:c r="H126" s="19" t="str">
        <x:v>L2</x:v>
      </x:c>
      <x:c r="I126" s="6" t="str">
        <x:v>节点力矩不能按集中力数值录入</x:v>
      </x:c>
      <x:c r="J126" s="19" t="str">
        <x:v>中文</x:v>
      </x:c>
      <x:c r="K126" s="6" t="str">
        <x:v>文本2轮＋完整属性附件（仅暂缺项除外）</x:v>
      </x:c>
      <x:c r="L126" s="23" t="n">
        <x:v>2</x:v>
      </x:c>
      <x:c r="M126" s="6" t="str">
        <x:v>T1所用独立模型为M-INT-025（端力矩加右跨均布载梁）。T1给M-INT-025，右端绕全局Y的数值20但单位漏写；T2确认20kN·m，正向按右手规则。</x:v>
      </x:c>
      <x:c r="N126" s="6" t="str">
        <x:v>节点力矩与集中力量纲不同；荷载分布的独立状态保持</x:v>
      </x:c>
      <x:c r="O126" s="6" t="str">
        <x:v>右跨中点x=7.5m的Uz及右支座Rz；所有值附位置、方向、单位、工况及当前轮次；澄清前不编造数值。</x:v>
      </x:c>
      <x:c r="P126" s="6" t="str">
        <x:v>仅补力矩单位；不转成20kN或均布载；左右跨仍5m+5m；6kN/m只在右跨，不能因单位补齐变为全跨加载；若已有信息可唯一推得缺项，接受说明依据后直接完成，否则再澄清。</x:v>
      </x:c>
      <x:c r="Q126" s="19" t="str">
        <x:v>新增</x:v>
      </x:c>
      <x:c r="R126" s="6" t="str">
        <x:v>无</x:v>
      </x:c>
      <x:c r="S126" s="6" t="str">
        <x:v>无</x:v>
      </x:c>
      <x:c r="T126" s="6" t="str">
        <x:v>新增交互场景；独立起始模型来源另见M-INT-025，不把同基础模型计为旧交互题沿用。该题已有独立物理改动，不与其他任务共享模型。</x:v>
      </x:c>
      <x:c r="U12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6" s="6" t="str">
        <x:v>节点力矩输入需验证；逐轮状态与目标/非目标差异评测待实现</x:v>
      </x:c>
      <x:c r="W126" s="6" t="str">
        <x:v>规划，待编题与验证</x:v>
      </x:c>
      <x:c r="X126" s="6" t="str">
        <x:v>OpenSees</x:v>
      </x:c>
      <x:c r="Y126" s="19" t="str">
        <x:v>OpenSees</x:v>
      </x:c>
      <x:c r="Z126" s="6" t="str">
        <x:v>梁端节点力矩单位与符号属于杆件力学建模</x:v>
      </x:c>
      <x:c r="AA12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6" s="6" t="str">
        <x:v>待逐题验证</x:v>
      </x:c>
      <x:c r="AC126" s="6" t="str">
        <x:v>未逐题验收；前置检查项：节点力矩输入需验证，并核对量纲澄清后计算后的模型更新和结果定位；不把一般OpenSees支持等同于当前StructureClaw已实现。</x:v>
      </x:c>
      <x:c r="AD12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2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右跨中点x=7.5m的Uz及右支座Rz。</x:v>
      </x:c>
      <x:c r="AF126" s="6" t="str">
        <x:v>OPS；COMMON</x:v>
      </x:c>
    </x:row>
    <x:row r="127" ht="81" customHeight="1">
      <x:c r="A127" s="14" t="str">
        <x:v>INT-026</x:v>
      </x:c>
      <x:c r="B127" s="11" t="str">
        <x:v>交互鲁棒性</x:v>
      </x:c>
      <x:c r="C127" s="18" t="str">
        <x:v>M-INT-026</x:v>
      </x:c>
      <x:c r="D127" s="11" t="str">
        <x:v>四跨梁换组截面再撤回载荷修改</x:v>
      </x:c>
      <x:c r="E127" s="11" t="str">
        <x:v>连续梁</x:v>
      </x:c>
      <x:c r="F127" s="18" t="str">
        <x:v>2D</x:v>
      </x:c>
      <x:c r="G127" s="11" t="str">
        <x:v>多步分组更新</x:v>
      </x:c>
      <x:c r="H127" s="18" t="str">
        <x:v>L3</x:v>
      </x:c>
      <x:c r="I127" s="11" t="str">
        <x:v>截面更改和荷载更改分别跨多个不连续区间</x:v>
      </x:c>
      <x:c r="J127" s="18" t="str">
        <x:v>英文</x:v>
      </x:c>
      <x:c r="K127" s="11" t="str">
        <x:v>文本4轮＋完整属性附件（仅暂缺项除外）</x:v>
      </x:c>
      <x:c r="L127" s="22" t="n">
        <x:v>4</x:v>
      </x:c>
      <x:c r="M127" s="11" t="str">
        <x:v>T1所用独立模型为M-INT-026（末跨内部点力的四跨分组梁）。T1建立M-INT-026；T2第二第四跨活载强度统一增至12kN/m；T3中间两跨B2替换B3；T4仅撤销T2荷载调整。</x:v>
      </x:c>
      <x:c r="N127" s="11" t="str">
        <x:v>几何、截面组、工况映射同时存在；荷载分布的独立状态保持</x:v>
      </x:c>
      <x:c r="O127" s="11" t="str">
        <x:v>第四跨中点x=17m的Uz及x=15m支座Rz；所有值附位置、方向、单位、工况及当前轮次；澄清前不编造数值。</x:v>
      </x:c>
      <x:c r="P127" s="11" t="str">
        <x:v>最终B3保留且活载恢复初始；第一第三跨不新增L；组合系数不变；第四跨D点力16kN不随活载撤销或截面更新改变。</x:v>
      </x:c>
      <x:c r="Q127" s="18" t="str">
        <x:v>新增</x:v>
      </x:c>
      <x:c r="R127" s="11" t="str">
        <x:v>无</x:v>
      </x:c>
      <x:c r="S127" s="11" t="str">
        <x:v>无</x:v>
      </x:c>
      <x:c r="T127" s="11" t="str">
        <x:v>新增交互场景；独立起始模型来源另见M-INT-026，不把同基础模型计为旧交互题沿用。该题已有独立物理改动，不与其他任务共享模型。</x:v>
      </x:c>
      <x:c r="U12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7" s="11" t="str">
        <x:v>多组合执行契约需验证；逐轮状态与目标/非目标差异评测待实现</x:v>
      </x:c>
      <x:c r="W127" s="11" t="str">
        <x:v>规划，待编题与验证</x:v>
      </x:c>
      <x:c r="X127" s="11" t="str">
        <x:v>OpenSees</x:v>
      </x:c>
      <x:c r="Y127" s="18" t="str">
        <x:v>OpenSees</x:v>
      </x:c>
      <x:c r="Z127" s="11" t="str">
        <x:v>2D连续梁的多步分组更新，重点是几何、截面组、工况映射同时存在，用显式杆系模型核对状态与响应。</x:v>
      </x:c>
      <x:c r="AA12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7" s="11" t="str">
        <x:v>待逐题验证</x:v>
      </x:c>
      <x:c r="AC127" s="11" t="str">
        <x:v>未逐题验收；前置检查项：多组合执行契约需验证，并核对多步分组更新后的模型更新和结果定位；不把一般OpenSees支持等同于当前StructureClaw已实现。</x:v>
      </x:c>
      <x:c r="AD127" s="11" t="str">
        <x:v>一阶线弹性静力；自重关闭；不自动施加刚性楼板/刚域、默认附加载或自动规范组合；严格保留题定约束、材料/截面完整属性、局部轴、荷载坐标与长度基准；单位逐字段明确。 保留独立原始工况及题定组合系数，修改组合不得覆盖原工况；各轮只执行明确修改，未被修改的字段保持；澄清内容按该轮生效。</x:v>
      </x:c>
      <x:c r="AE12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第四跨中点x=17m的Uz及x=15m支座Rz。</x:v>
      </x:c>
      <x:c r="AF127" s="11" t="str">
        <x:v>OPS；COMMON</x:v>
      </x:c>
    </x:row>
    <x:row r="128" ht="81" customHeight="1">
      <x:c r="A128" s="15" t="str">
        <x:v>INT-027</x:v>
      </x:c>
      <x:c r="B128" s="6" t="str">
        <x:v>交互鲁棒性</x:v>
      </x:c>
      <x:c r="C128" s="19" t="str">
        <x:v>M-INT-027</x:v>
      </x:c>
      <x:c r="D128" s="6" t="str">
        <x:v>Pratt桁架四节点力统一替换</x:v>
      </x:c>
      <x:c r="E128" s="6" t="str">
        <x:v>桁架</x:v>
      </x:c>
      <x:c r="F128" s="19" t="str">
        <x:v>2D</x:v>
      </x:c>
      <x:c r="G128" s="6" t="str">
        <x:v>荷载组定向更新</x:v>
      </x:c>
      <x:c r="H128" s="19" t="str">
        <x:v>L2</x:v>
      </x:c>
      <x:c r="I128" s="6" t="str">
        <x:v>需选对四个内部上弦节点而非所有节点</x:v>
      </x:c>
      <x:c r="J128" s="19" t="str">
        <x:v>中文</x:v>
      </x:c>
      <x:c r="K128" s="6" t="str">
        <x:v>文本2轮＋完整属性附件（仅暂缺项除外）</x:v>
      </x:c>
      <x:c r="L128" s="23" t="n">
        <x:v>2</x:v>
      </x:c>
      <x:c r="M128" s="6" t="str">
        <x:v>T1所用独立模型为M-INT-027（弦腹杆不同面积的Pratt桁架）。T1建立M-INT-027；T2每个内部上弦节点的10kN替换为15kN。</x:v>
      </x:c>
      <x:c r="N128" s="6" t="str">
        <x:v>按给定连接而非名称补猜；截面分组的独立状态保持</x:v>
      </x:c>
      <x:c r="O128" s="6" t="str">
        <x:v>x=6m上弦的Ux/Uz，左支承反力及附表指定首根下弦/底边杆轴力；所有值附位置、方向、单位、工况及当前轮次；澄清前不编造数值。</x:v>
      </x:c>
      <x:c r="P128" s="6" t="str">
        <x:v>仅四处更新；端部上下弦不加载；杆件连接、支座及属性保持；上弦A、下弦1.4A、腹杆0.7A的分组保持。</x:v>
      </x:c>
      <x:c r="Q128" s="19" t="str">
        <x:v>旧题改编</x:v>
      </x:c>
      <x:c r="R128" s="6" t="str">
        <x:v>robust-update-truss-load</x:v>
      </x:c>
      <x:c r="S128" s="6" t="str">
        <x:v>无</x:v>
      </x:c>
      <x:c r="T128" s="6" t="str">
        <x:v>旧题交互机制迁入M-INT-027；补齐属性、完成计算与更新不变量；本行轮次为新契约，旧数字不直接沿用。该题已有独立物理改动，不与其他任务共享模型。</x:v>
      </x:c>
      <x:c r="U12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8" s="6" t="str">
        <x:v>基础工具；逐轮状态与目标/非目标差异评测待实现</x:v>
      </x:c>
      <x:c r="W128" s="6" t="str">
        <x:v>规划，待编题与验证</x:v>
      </x:c>
      <x:c r="X128" s="6" t="str">
        <x:v>OpenSees</x:v>
      </x:c>
      <x:c r="Y128" s="19" t="str">
        <x:v>OpenSees</x:v>
      </x:c>
      <x:c r="Z128" s="6" t="str">
        <x:v>2D桁架的荷载组定向更新，重点是按给定连接而非名称补猜，用显式杆系模型核对状态与响应。</x:v>
      </x:c>
      <x:c r="AA12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8" s="6" t="str">
        <x:v>待逐题验证</x:v>
      </x:c>
      <x:c r="AC128" s="6" t="str">
        <x:v>未逐题验收；前置检查项：基础工具，并核对荷载组定向更新后的模型更新和结果定位；不把一般OpenSees支持等同于当前StructureClaw已实现。</x:v>
      </x:c>
      <x:c r="AD12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2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6m上弦的Ux/Uz，左支承反力及附表指定首根下弦/底边杆轴力。</x:v>
      </x:c>
      <x:c r="AF128" s="6" t="str">
        <x:v>OPS；COMMON</x:v>
      </x:c>
    </x:row>
    <x:row r="129" ht="81" customHeight="1">
      <x:c r="A129" s="14" t="str">
        <x:v>INT-028</x:v>
      </x:c>
      <x:c r="B129" s="11" t="str">
        <x:v>交互鲁棒性</x:v>
      </x:c>
      <x:c r="C129" s="18" t="str">
        <x:v>M-INT-028</x:v>
      </x:c>
      <x:c r="D129" s="11" t="str">
        <x:v>桁架吨力与千牛确认</x:v>
      </x:c>
      <x:c r="E129" s="11" t="str">
        <x:v>桁架</x:v>
      </x:c>
      <x:c r="F129" s="18" t="str">
        <x:v>2D</x:v>
      </x:c>
      <x:c r="G129" s="11" t="str">
        <x:v>单位澄清后计算</x:v>
      </x:c>
      <x:c r="H129" s="18" t="str">
        <x:v>L2</x:v>
      </x:c>
      <x:c r="I129" s="11" t="str">
        <x:v>集中力单位有歧义且不可按质量直接代入力</x:v>
      </x:c>
      <x:c r="J129" s="18" t="str">
        <x:v>英文</x:v>
      </x:c>
      <x:c r="K129" s="11" t="str">
        <x:v>文本2轮＋完整属性附件（仅暂缺项除外）</x:v>
      </x:c>
      <x:c r="L129" s="22" t="n">
        <x:v>2</x:v>
      </x:c>
      <x:c r="M129" s="11" t="str">
        <x:v>T1所用独立模型为M-INT-028（下弦重力加端上弦水平力桁架）。T1给M-INT-028，其余完整但五个下弦节点力写15吨或15kN待确认；T2确认15kN。</x:v>
      </x:c>
      <x:c r="N129" s="11" t="str">
        <x:v>变高度与下弦作用点；荷载分量的独立状态保持</x:v>
      </x:c>
      <x:c r="O129" s="11" t="str">
        <x:v>x=9m下弦的Ux/Uz，左支承反力及附表指定首根下弦/底边杆轴力；所有值附位置、方向、单位、工况及当前轮次；澄清前不编造数值。</x:v>
      </x:c>
      <x:c r="P129" s="11" t="str">
        <x:v>首轮只澄清力单位；最终五个下弦节点各15kN，不把五个竖向力移到上弦；最右上弦6kN水平负力保留；若已有信息可唯一推得缺项，接受说明依据后直接完成，否则再澄清。</x:v>
      </x:c>
      <x:c r="Q129" s="18" t="str">
        <x:v>旧题改编</x:v>
      </x:c>
      <x:c r="R129" s="11" t="str">
        <x:v>robust-truss-unit-ton-or-kn</x:v>
      </x:c>
      <x:c r="S129" s="11" t="str">
        <x:v>无</x:v>
      </x:c>
      <x:c r="T129" s="11" t="str">
        <x:v>旧题交互机制迁入M-INT-028；补齐属性、完成计算与更新不变量；本行轮次为新契约，旧数字不直接沿用。该题已有独立物理改动，不与其他任务共享模型。</x:v>
      </x:c>
      <x:c r="U12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29" s="11" t="str">
        <x:v>基础工具；逐轮状态与目标/非目标差异评测待实现</x:v>
      </x:c>
      <x:c r="W129" s="11" t="str">
        <x:v>规划，待编题与验证</x:v>
      </x:c>
      <x:c r="X129" s="11" t="str">
        <x:v>OpenSees</x:v>
      </x:c>
      <x:c r="Y129" s="18" t="str">
        <x:v>OpenSees</x:v>
      </x:c>
      <x:c r="Z129" s="11" t="str">
        <x:v>2D桁架的单位澄清后计算，重点是变高度与下弦作用点，用显式杆系模型核对状态与响应。</x:v>
      </x:c>
      <x:c r="AA12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29" s="11" t="str">
        <x:v>待逐题验证</x:v>
      </x:c>
      <x:c r="AC129" s="11" t="str">
        <x:v>未逐题验收；前置检查项：基础工具，并核对单位澄清后计算后的模型更新和结果定位；不把一般OpenSees支持等同于当前StructureClaw已实现。</x:v>
      </x:c>
      <x:c r="AD129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2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9m下弦的Ux/Uz，左支承反力及附表指定首根下弦/底边杆轴力。</x:v>
      </x:c>
      <x:c r="AF129" s="11" t="str">
        <x:v>OPS；COMMON</x:v>
      </x:c>
    </x:row>
    <x:row r="130" ht="67.5" customHeight="1">
      <x:c r="A130" s="15" t="str">
        <x:v>INT-029</x:v>
      </x:c>
      <x:c r="B130" s="6" t="str">
        <x:v>交互鲁棒性</x:v>
      </x:c>
      <x:c r="C130" s="19" t="str">
        <x:v>M-INT-029</x:v>
      </x:c>
      <x:c r="D130" s="6" t="str">
        <x:v>三角桁架零高度修正</x:v>
      </x:c>
      <x:c r="E130" s="6" t="str">
        <x:v>桁架</x:v>
      </x:c>
      <x:c r="F130" s="19" t="str">
        <x:v>2D</x:v>
      </x:c>
      <x:c r="G130" s="6" t="str">
        <x:v>无效几何修正后完成</x:v>
      </x:c>
      <x:c r="H130" s="19" t="str">
        <x:v>L2</x:v>
      </x:c>
      <x:c r="I130" s="6" t="str">
        <x:v>零高会退化，应按用户修正而非自行补高度</x:v>
      </x:c>
      <x:c r="J130" s="19" t="str">
        <x:v>中文</x:v>
      </x:c>
      <x:c r="K130" s="6" t="str">
        <x:v>文本2轮＋完整属性附件（仅暂缺项除外）</x:v>
      </x:c>
      <x:c r="L130" s="23" t="n">
        <x:v>2</x:v>
      </x:c>
      <x:c r="M130" s="6" t="str">
        <x:v>T1所用独立模型为M-INT-029（下弦加强的三角桁架）。T1给M-INT-029的连接表，但高度记录为0m；T2确认高度应3m，其余6节点10杆照表。</x:v>
      </x:c>
      <x:c r="N130" s="6" t="str">
        <x:v>保留特殊水平连杆与连接节点；截面分组的独立状态保持</x:v>
      </x:c>
      <x:c r="O130" s="6" t="str">
        <x:v>顶点的Ux/Uz，左支承反力及附表指定首根下弦/底边杆轴力；所有值附位置、方向、单位、工况及当前轮次；澄清前不编造数值。</x:v>
      </x:c>
      <x:c r="P130" s="6" t="str">
        <x:v>首轮识别退化；最终恢复3m且特殊水平连杆保留，不改成模板腹杆；下弦加强不随零高修正而改变。</x:v>
      </x:c>
      <x:c r="Q130" s="19" t="str">
        <x:v>旧题改编</x:v>
      </x:c>
      <x:c r="R130" s="6" t="str">
        <x:v>robust-truss-zero-height</x:v>
      </x:c>
      <x:c r="S130" s="6" t="str">
        <x:v>无</x:v>
      </x:c>
      <x:c r="T130" s="6" t="str">
        <x:v>旧题交互机制迁入M-INT-029；补齐属性、完成计算与更新不变量；本行轮次为新契约，旧数字不直接沿用。该题已有独立物理改动，不与其他任务共享模型。</x:v>
      </x:c>
      <x:c r="U130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0" s="6" t="str">
        <x:v>基础工具；逐轮状态与目标/非目标差异评测待实现</x:v>
      </x:c>
      <x:c r="W130" s="6" t="str">
        <x:v>规划，待编题与验证</x:v>
      </x:c>
      <x:c r="X130" s="6" t="str">
        <x:v>OpenSees</x:v>
      </x:c>
      <x:c r="Y130" s="19" t="str">
        <x:v>OpenSees</x:v>
      </x:c>
      <x:c r="Z130" s="6" t="str">
        <x:v>2D桁架的无效几何修正后完成，重点是保留特殊水平连杆与连接节点，用显式杆系模型核对状态与响应。</x:v>
      </x:c>
      <x:c r="AA130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0" s="6" t="str">
        <x:v>待逐题验证</x:v>
      </x:c>
      <x:c r="AC130" s="6" t="str">
        <x:v>未逐题验收；前置检查项：基础工具，并核对无效几何修正后完成后的模型更新和结果定位；不把一般OpenSees支持等同于当前StructureClaw已实现。</x:v>
      </x:c>
      <x:c r="AD130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顶点的Ux/Uz，左支承反力及附表指定首根下弦/底边杆轴力。</x:v>
      </x:c>
      <x:c r="AF130" s="6" t="str">
        <x:v>OPS；COMMON</x:v>
      </x:c>
    </x:row>
    <x:row r="131" ht="81" customHeight="1">
      <x:c r="A131" s="14" t="str">
        <x:v>INT-030</x:v>
      </x:c>
      <x:c r="B131" s="11" t="str">
        <x:v>交互鲁棒性</x:v>
      </x:c>
      <x:c r="C131" s="18" t="str">
        <x:v>M-INT-030</x:v>
      </x:c>
      <x:c r="D131" s="11" t="str">
        <x:v>Warren杆系名称与连接表冲突</x:v>
      </x:c>
      <x:c r="E131" s="11" t="str">
        <x:v>桁架</x:v>
      </x:c>
      <x:c r="F131" s="18" t="str">
        <x:v>2D</x:v>
      </x:c>
      <x:c r="G131" s="11" t="str">
        <x:v>拓扑冲突澄清</x:v>
      </x:c>
      <x:c r="H131" s="18" t="str">
        <x:v>L2</x:v>
      </x:c>
      <x:c r="I131" s="11" t="str">
        <x:v>类型名称不可覆盖明确但冲突的连接定义</x:v>
      </x:c>
      <x:c r="J131" s="18" t="str">
        <x:v>英文</x:v>
      </x:c>
      <x:c r="K131" s="11" t="str">
        <x:v>文本2轮＋完整属性附件（仅暂缺项除外）</x:v>
      </x:c>
      <x:c r="L131" s="22" t="n">
        <x:v>2</x:v>
      </x:c>
      <x:c r="M131" s="11" t="str">
        <x:v>T1所用独立模型为M-INT-030（局部上弦点力的Warren杆系）。T1给M-INT-030，文本称纯Warren无竖杆而附件含竖杆；T2确认保留附件全部竖杆和交替斜杆。</x:v>
      </x:c>
      <x:c r="N131" s="11" t="str">
        <x:v>下弦加载与斜杆方向；荷载位置的独立状态保持</x:v>
      </x:c>
      <x:c r="O131" s="11" t="str">
        <x:v>x=6m上弦的Ux/Uz，左支承反力及附表指定首根下弦/底边杆轴力；所有值附位置、方向、单位、工况及当前轮次；澄清前不编造数值。</x:v>
      </x:c>
      <x:c r="P131" s="11" t="str">
        <x:v>澄清后照连接表；不得因名称删除竖杆；内部下弦荷载保留；中间上弦11kN为独立附加力，竖杆连接保留。</x:v>
      </x:c>
      <x:c r="Q131" s="18" t="str">
        <x:v>旧题改编</x:v>
      </x:c>
      <x:c r="R131" s="11" t="str">
        <x:v>robust-truss-conflicting-topology</x:v>
      </x:c>
      <x:c r="S131" s="11" t="str">
        <x:v>无</x:v>
      </x:c>
      <x:c r="T131" s="11" t="str">
        <x:v>旧题交互机制迁入M-INT-030；补齐属性、完成计算与更新不变量；本行轮次为新契约，旧数字不直接沿用。该题已有独立物理改动，不与其他任务共享模型。</x:v>
      </x:c>
      <x:c r="U13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1" s="11" t="str">
        <x:v>基础工具；逐轮状态与目标/非目标差异评测待实现</x:v>
      </x:c>
      <x:c r="W131" s="11" t="str">
        <x:v>规划，待编题与验证</x:v>
      </x:c>
      <x:c r="X131" s="11" t="str">
        <x:v>OpenSees</x:v>
      </x:c>
      <x:c r="Y131" s="18" t="str">
        <x:v>OpenSees</x:v>
      </x:c>
      <x:c r="Z131" s="11" t="str">
        <x:v>2D桁架的拓扑冲突澄清，重点是下弦加载与斜杆方向，用显式杆系模型核对状态与响应。</x:v>
      </x:c>
      <x:c r="AA13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1" s="11" t="str">
        <x:v>待逐题验证</x:v>
      </x:c>
      <x:c r="AC131" s="11" t="str">
        <x:v>未逐题验收；前置检查项：基础工具，并核对拓扑冲突澄清后的模型更新和结果定位；不把一般OpenSees支持等同于当前StructureClaw已实现。</x:v>
      </x:c>
      <x:c r="AD131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6m上弦的Ux/Uz，左支承反力及附表指定首根下弦/底边杆轴力。</x:v>
      </x:c>
      <x:c r="AF131" s="11" t="str">
        <x:v>OPS；COMMON</x:v>
      </x:c>
    </x:row>
    <x:row r="132" ht="81" customHeight="1">
      <x:c r="A132" s="15" t="str">
        <x:v>INT-031</x:v>
      </x:c>
      <x:c r="B132" s="6" t="str">
        <x:v>交互鲁棒性</x:v>
      </x:c>
      <x:c r="C132" s="19" t="str">
        <x:v>M-INT-031</x:v>
      </x:c>
      <x:c r="D132" s="6" t="str">
        <x:v>屋架加载弦杆修订</x:v>
      </x:c>
      <x:c r="E132" s="6" t="str">
        <x:v>桁架</x:v>
      </x:c>
      <x:c r="F132" s="19" t="str">
        <x:v>2D</x:v>
      </x:c>
      <x:c r="G132" s="6" t="str">
        <x:v>荷载位置更新</x:v>
      </x:c>
      <x:c r="H132" s="19" t="str">
        <x:v>L2</x:v>
      </x:c>
      <x:c r="I132" s="6" t="str">
        <x:v>加载上弦改下弦时要删除旧点而不是追加</x:v>
      </x:c>
      <x:c r="J132" s="19" t="str">
        <x:v>中文</x:v>
      </x:c>
      <x:c r="K132" s="6" t="str">
        <x:v>文本2轮＋完整属性附件（仅暂缺项除外）</x:v>
      </x:c>
      <x:c r="L132" s="23" t="n">
        <x:v>2</x:v>
      </x:c>
      <x:c r="M132" s="6" t="str">
        <x:v>T1所用独立模型为M-INT-031（首末节间腹杆加强的平行弦屋架）。T1建立M-INT-031；T2将x=3、6、9、12m四个上弦节点力移到同x下弦节点，幅值不变，x=15m上弦力不动。</x:v>
      </x:c>
      <x:c r="N132" s="6" t="str">
        <x:v>上弦荷载及竖杆完整性；截面分组的独立状态保持</x:v>
      </x:c>
      <x:c r="O132" s="6" t="str">
        <x:v>x=9m上弦的Ux/Uz，左支承反力及附表指定首根下弦/底边杆轴力；所有值附位置、方向、单位、工况及当前轮次；澄清前不编造数值。</x:v>
      </x:c>
      <x:c r="P132" s="6" t="str">
        <x:v>四对同x节点正确迁移；移出节点力清零，x=15m原上弦力保持；不增加总力；拓扑与截面不变；两端节间腹杆加强保持；上弦载迁移不改变属性。</x:v>
      </x:c>
      <x:c r="Q132" s="19" t="str">
        <x:v>新增</x:v>
      </x:c>
      <x:c r="R132" s="6" t="str">
        <x:v>无</x:v>
      </x:c>
      <x:c r="S132" s="6" t="str">
        <x:v>无</x:v>
      </x:c>
      <x:c r="T132" s="6" t="str">
        <x:v>新增交互场景；独立起始模型来源另见M-INT-031，不把同基础模型计为旧交互题沿用。该题已有独立物理改动，不与其他任务共享模型。</x:v>
      </x:c>
      <x:c r="U132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2" s="6" t="str">
        <x:v>基础工具；逐轮状态与目标/非目标差异评测待实现</x:v>
      </x:c>
      <x:c r="W132" s="6" t="str">
        <x:v>规划，待编题与验证</x:v>
      </x:c>
      <x:c r="X132" s="6" t="str">
        <x:v>OpenSees</x:v>
      </x:c>
      <x:c r="Y132" s="19" t="str">
        <x:v>OpenSees</x:v>
      </x:c>
      <x:c r="Z132" s="6" t="str">
        <x:v>2D桁架的荷载位置更新，重点是上弦荷载及竖杆完整性，用显式杆系模型核对状态与响应。</x:v>
      </x:c>
      <x:c r="AA132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2" s="6" t="str">
        <x:v>待逐题验证</x:v>
      </x:c>
      <x:c r="AC132" s="6" t="str">
        <x:v>未逐题验收；前置检查项：基础工具，并核对荷载位置更新后的模型更新和结果定位；不把一般OpenSees支持等同于当前StructureClaw已实现。</x:v>
      </x:c>
      <x:c r="AD132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9m上弦的Ux/Uz，左支承反力及附表指定首根下弦/底边杆轴力。</x:v>
      </x:c>
      <x:c r="AF132" s="6" t="str">
        <x:v>OPS；COMMON</x:v>
      </x:c>
    </x:row>
    <x:row r="133" ht="81" customHeight="1">
      <x:c r="A133" s="14" t="str">
        <x:v>INT-032</x:v>
      </x:c>
      <x:c r="B133" s="11" t="str">
        <x:v>交互鲁棒性</x:v>
      </x:c>
      <x:c r="C133" s="18" t="str">
        <x:v>M-INT-032</x:v>
      </x:c>
      <x:c r="D133" s="11" t="str">
        <x:v>三角屋架漏一个连接端点</x:v>
      </x:c>
      <x:c r="E133" s="11" t="str">
        <x:v>桁架</x:v>
      </x:c>
      <x:c r="F133" s="18" t="str">
        <x:v>2D</x:v>
      </x:c>
      <x:c r="G133" s="11" t="str">
        <x:v>连接缺项澄清</x:v>
      </x:c>
      <x:c r="H133" s="18" t="str">
        <x:v>L2</x:v>
      </x:c>
      <x:c r="I133" s="11" t="str">
        <x:v>非整数顶点下不能按最近节点自动推断腹杆</x:v>
      </x:c>
      <x:c r="J133" s="18" t="str">
        <x:v>英文</x:v>
      </x:c>
      <x:c r="K133" s="11" t="str">
        <x:v>文本2轮＋完整属性附件（仅暂缺项除外）</x:v>
      </x:c>
      <x:c r="L133" s="22" t="n">
        <x:v>2</x:v>
      </x:c>
      <x:c r="M133" s="11" t="str">
        <x:v>T1所用独立模型为M-INT-032（顶点水平力与上弦竖载三角屋架）。T1给M-INT-032但连接表中一根到顶点的腹杆仅列起点；T2补充终点为顶点(x=7.5m,z=2.5m)。</x:v>
      </x:c>
      <x:c r="N133" s="11" t="str">
        <x:v>顶点不在整节间及腹杆连接；荷载分量的独立状态保持</x:v>
      </x:c>
      <x:c r="O133" s="11" t="str">
        <x:v>x=7.5m顶点的Ux/Uz，左支承反力及附表指定首根下弦/底边杆轴力；所有值附位置、方向、单位、工况及当前轮次；澄清前不编造数值。</x:v>
      </x:c>
      <x:c r="P133" s="11" t="str">
        <x:v>只补指定杆终点；不移动顶点到整数节间；不删除该杆或增加猜测杆；顶点7kN水平力保持，不能分配给相邻节间节点；若已有信息可唯一推得缺项，接受说明依据后直接完成，否则再澄清。</x:v>
      </x:c>
      <x:c r="Q133" s="18" t="str">
        <x:v>新增</x:v>
      </x:c>
      <x:c r="R133" s="11" t="str">
        <x:v>无</x:v>
      </x:c>
      <x:c r="S133" s="11" t="str">
        <x:v>无</x:v>
      </x:c>
      <x:c r="T133" s="11" t="str">
        <x:v>新增交互场景；独立起始模型来源另见M-INT-032，不把同基础模型计为旧交互题沿用。该题已有独立物理改动，不与其他任务共享模型。</x:v>
      </x:c>
      <x:c r="U133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3" s="11" t="str">
        <x:v>基础工具；逐轮状态与目标/非目标差异评测待实现</x:v>
      </x:c>
      <x:c r="W133" s="11" t="str">
        <x:v>规划，待编题与验证</x:v>
      </x:c>
      <x:c r="X133" s="11" t="str">
        <x:v>OpenSees</x:v>
      </x:c>
      <x:c r="Y133" s="18" t="str">
        <x:v>OpenSees</x:v>
      </x:c>
      <x:c r="Z133" s="11" t="str">
        <x:v>2D桁架的连接缺项澄清，重点是顶点不在整节间及腹杆连接，用显式杆系模型核对状态与响应。</x:v>
      </x:c>
      <x:c r="AA133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3" s="11" t="str">
        <x:v>待逐题验证</x:v>
      </x:c>
      <x:c r="AC133" s="11" t="str">
        <x:v>未逐题验收；前置检查项：基础工具，并核对连接缺项澄清后的模型更新和结果定位；不把一般OpenSees支持等同于当前StructureClaw已实现。</x:v>
      </x:c>
      <x:c r="AD133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7.5m顶点的Ux/Uz，左支承反力及附表指定首根下弦/底边杆轴力。</x:v>
      </x:c>
      <x:c r="AF133" s="11" t="str">
        <x:v>OPS；COMMON</x:v>
      </x:c>
    </x:row>
    <x:row r="134" ht="81" customHeight="1">
      <x:c r="A134" s="15" t="str">
        <x:v>INT-033</x:v>
      </x:c>
      <x:c r="B134" s="6" t="str">
        <x:v>交互鲁棒性</x:v>
      </x:c>
      <x:c r="C134" s="19" t="str">
        <x:v>M-INT-033</x:v>
      </x:c>
      <x:c r="D134" s="6" t="str">
        <x:v>平行弦三角腹杆的输出命名</x:v>
      </x:c>
      <x:c r="E134" s="6" t="str">
        <x:v>桁架</x:v>
      </x:c>
      <x:c r="F134" s="19" t="str">
        <x:v>2D</x:v>
      </x:c>
      <x:c r="G134" s="6" t="str">
        <x:v>结果对象确认</x:v>
      </x:c>
      <x:c r="H134" s="19" t="str">
        <x:v>L2</x:v>
      </x:c>
      <x:c r="I134" s="6" t="str">
        <x:v>三角腹杆描述不能被误解为三角外轮廓</x:v>
      </x:c>
      <x:c r="J134" s="19" t="str">
        <x:v>中文</x:v>
      </x:c>
      <x:c r="K134" s="6" t="str">
        <x:v>文本2轮＋完整属性附件（仅暂缺项除外）</x:v>
      </x:c>
      <x:c r="L134" s="23" t="n">
        <x:v>2</x:v>
      </x:c>
      <x:c r="M134" s="6" t="str">
        <x:v>T1所用独立模型为M-INT-033（只有奇数格下弦加载的平行弦杆系）。T1完整给M-INT-033并请求三角形的最大轴力；T2明确指本题连接表所有21根杆的轴力绝对值最大者。</x:v>
      </x:c>
      <x:c r="N134" s="6" t="str">
        <x:v>三角腹杆不等于三角外轮廓；荷载分布的独立状态保持</x:v>
      </x:c>
      <x:c r="O134" s="6" t="str">
        <x:v>x=6m上弦的Ux/Uz，左支承反力及附表指定首根下弦/底边杆轴力；所有值附位置、方向、单位、工况及当前轮次；澄清前不编造数值。</x:v>
      </x:c>
      <x:c r="P134" s="6" t="str">
        <x:v>模型保持平行弦12节点21杆；返回杆ID、拉压符号、单位及工况；只有两个指定下弦节点加载，不因三角名称补成全节点荷载。</x:v>
      </x:c>
      <x:c r="Q134" s="19" t="str">
        <x:v>新增</x:v>
      </x:c>
      <x:c r="R134" s="6" t="str">
        <x:v>无</x:v>
      </x:c>
      <x:c r="S134" s="6" t="str">
        <x:v>无</x:v>
      </x:c>
      <x:c r="T134" s="6" t="str">
        <x:v>新增交互场景；独立起始模型来源另见M-INT-033，不把同基础模型计为旧交互题沿用。该题已有独立物理改动，不与其他任务共享模型。</x:v>
      </x:c>
      <x:c r="U13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4" s="6" t="str">
        <x:v>基础工具；逐轮状态与目标/非目标差异评测待实现</x:v>
      </x:c>
      <x:c r="W134" s="6" t="str">
        <x:v>规划，待编题与验证</x:v>
      </x:c>
      <x:c r="X134" s="6" t="str">
        <x:v>OpenSees</x:v>
      </x:c>
      <x:c r="Y134" s="19" t="str">
        <x:v>OpenSees</x:v>
      </x:c>
      <x:c r="Z134" s="6" t="str">
        <x:v>2D桁架的结果对象确认，重点是三角腹杆不等于三角外轮廓，用显式杆系模型核对状态与响应。</x:v>
      </x:c>
      <x:c r="AA13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4" s="6" t="str">
        <x:v>待逐题验证</x:v>
      </x:c>
      <x:c r="AC134" s="6" t="str">
        <x:v>未逐题验收；前置检查项：基础工具，并核对结果对象确认后的模型更新和结果定位；不把一般OpenSees支持等同于当前StructureClaw已实现。</x:v>
      </x:c>
      <x:c r="AD134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6m上弦的Ux/Uz，左支承反力及附表指定首根下弦/底边杆轴力。</x:v>
      </x:c>
      <x:c r="AF134" s="6" t="str">
        <x:v>OPS；COMMON</x:v>
      </x:c>
    </x:row>
    <x:row r="135" ht="81" customHeight="1">
      <x:c r="A135" s="14" t="str">
        <x:v>INT-034</x:v>
      </x:c>
      <x:c r="B135" s="11" t="str">
        <x:v>交互鲁棒性</x:v>
      </x:c>
      <x:c r="C135" s="18" t="str">
        <x:v>M-INT-034</x:v>
      </x:c>
      <x:c r="D135" s="11" t="str">
        <x:v>Howe腹杆逐组方向更正</x:v>
      </x:c>
      <x:c r="E135" s="11" t="str">
        <x:v>桁架</x:v>
      </x:c>
      <x:c r="F135" s="18" t="str">
        <x:v>2D</x:v>
      </x:c>
      <x:c r="G135" s="11" t="str">
        <x:v>拓扑定向更新</x:v>
      </x:c>
      <x:c r="H135" s="18" t="str">
        <x:v>L3</x:v>
      </x:c>
      <x:c r="I135" s="11" t="str">
        <x:v>腹杆方向改变必须整体保持有效稳定拓扑</x:v>
      </x:c>
      <x:c r="J135" s="18" t="str">
        <x:v>英文</x:v>
      </x:c>
      <x:c r="K135" s="11" t="str">
        <x:v>文本2轮＋完整属性附件（仅暂缺项除外）</x:v>
      </x:c>
      <x:c r="L135" s="22" t="n">
        <x:v>2</x:v>
      </x:c>
      <x:c r="M135" s="11" t="str">
        <x:v>T1所用独立模型为M-INT-034（两类腹杆截面的Howe杆系）。T1完整给M-INT-034，附件A为初始连接表；T2用拟提供且编题前须预核验的附件B替换指定两格斜杆，其他连接保持。</x:v>
      </x:c>
      <x:c r="N135" s="11" t="str">
        <x:v>名称相似而斜杆端点不同；截面分组的独立状态保持</x:v>
      </x:c>
      <x:c r="O135" s="11" t="str">
        <x:v>x=8m上弦的Ux/Uz，左支承反力及附表指定首根下弦/底边杆轴力；所有值附位置、方向、单位、工况及当前轮次；澄清前不编造数值。</x:v>
      </x:c>
      <x:c r="P135" s="11" t="str">
        <x:v>按明确新端点删除旧杆再加新杆；不可保留双重斜杆；连通与稳定性另行核验；新斜杆仍1.2A，竖杆0.8A不变。</x:v>
      </x:c>
      <x:c r="Q135" s="18" t="str">
        <x:v>新增</x:v>
      </x:c>
      <x:c r="R135" s="11" t="str">
        <x:v>无</x:v>
      </x:c>
      <x:c r="S135" s="11" t="str">
        <x:v>无</x:v>
      </x:c>
      <x:c r="T135" s="11" t="str">
        <x:v>新增交互场景；独立起始模型来源另见M-INT-034，不把同基础模型计为旧交互题沿用。该题已有独立物理改动，不与其他任务共享模型。</x:v>
      </x:c>
      <x:c r="U13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5" s="11" t="str">
        <x:v>基础工具；逐轮状态与目标/非目标差异评测待实现</x:v>
      </x:c>
      <x:c r="W135" s="11" t="str">
        <x:v>规划，待编题与验证</x:v>
      </x:c>
      <x:c r="X135" s="11" t="str">
        <x:v>OpenSees</x:v>
      </x:c>
      <x:c r="Y135" s="18" t="str">
        <x:v>OpenSees</x:v>
      </x:c>
      <x:c r="Z135" s="11" t="str">
        <x:v>2D桁架的拓扑定向更新，重点是名称相似而斜杆端点不同，用显式杆系模型核对状态与响应。</x:v>
      </x:c>
      <x:c r="AA13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5" s="11" t="str">
        <x:v>待逐题验证</x:v>
      </x:c>
      <x:c r="AC135" s="11" t="str">
        <x:v>未逐题验收；前置检查项：基础工具，并核对拓扑定向更新后的模型更新和结果定位；不把一般OpenSees支持等同于当前StructureClaw已实现。</x:v>
      </x:c>
      <x:c r="AD135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8m上弦的Ux/Uz，左支承反力及附表指定首根下弦/底边杆轴力。</x:v>
      </x:c>
      <x:c r="AF135" s="11" t="str">
        <x:v>OPS；COMMON</x:v>
      </x:c>
    </x:row>
    <x:row r="136" ht="81" customHeight="1">
      <x:c r="A136" s="15" t="str">
        <x:v>INT-035</x:v>
      </x:c>
      <x:c r="B136" s="6" t="str">
        <x:v>交互鲁棒性</x:v>
      </x:c>
      <x:c r="C136" s="19" t="str">
        <x:v>M-INT-035</x:v>
      </x:c>
      <x:c r="D136" s="6" t="str">
        <x:v>K形节点被省略后的补充</x:v>
      </x:c>
      <x:c r="E136" s="6" t="str">
        <x:v>桁架</x:v>
      </x:c>
      <x:c r="F136" s="19" t="str">
        <x:v>2D</x:v>
      </x:c>
      <x:c r="G136" s="6" t="str">
        <x:v>拓扑缺项澄清</x:v>
      </x:c>
      <x:c r="H136" s="19" t="str">
        <x:v>L3</x:v>
      </x:c>
      <x:c r="I136" s="6" t="str">
        <x:v>腹杆中点共节点决定传力路径且牵涉多根杆</x:v>
      </x:c>
      <x:c r="J136" s="19" t="str">
        <x:v>中文</x:v>
      </x:c>
      <x:c r="K136" s="6" t="str">
        <x:v>文本2轮＋完整属性附件（仅暂缺项除外）</x:v>
      </x:c>
      <x:c r="L136" s="23" t="n">
        <x:v>2</x:v>
      </x:c>
      <x:c r="M136" s="6" t="str">
        <x:v>T1所用独立模型为M-INT-035（K形中点承受直接荷载的桁架）。T1给M-INT-035完整几何荷载，但一处K腹杆交点是否与竖杆相连未说明；T2明确共用中点节点连接。</x:v>
      </x:c>
      <x:c r="N136" s="6" t="str">
        <x:v>中间连接节点与局部荷载范围；荷载位置的独立状态保持</x:v>
      </x:c>
      <x:c r="O136" s="6" t="str">
        <x:v>x=6m竖杆中点的Ux/Uz，左支承反力及附表指定首根下弦/底边杆轴力；所有值附位置、方向、单位、工况及当前轮次；澄清前不编造数值。</x:v>
      </x:c>
      <x:c r="P136" s="6" t="str">
        <x:v>所有关联杆在同一中点连接；不当成跨越或只画点；左半区加载不变；中点9kN必须作用于真正共节点，不移到上弦。</x:v>
      </x:c>
      <x:c r="Q136" s="19" t="str">
        <x:v>新增</x:v>
      </x:c>
      <x:c r="R136" s="6" t="str">
        <x:v>无</x:v>
      </x:c>
      <x:c r="S136" s="6" t="str">
        <x:v>无</x:v>
      </x:c>
      <x:c r="T136" s="6" t="str">
        <x:v>新增交互场景；独立起始模型来源另见M-INT-035，不把同基础模型计为旧交互题沿用。该题已有独立物理改动，不与其他任务共享模型。</x:v>
      </x:c>
      <x:c r="U13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6" s="6" t="str">
        <x:v>机构与连通性需独立验证；逐轮状态与目标/非目标差异评测待实现</x:v>
      </x:c>
      <x:c r="W136" s="6" t="str">
        <x:v>规划，待编题与验证</x:v>
      </x:c>
      <x:c r="X136" s="6" t="str">
        <x:v>OpenSees</x:v>
      </x:c>
      <x:c r="Y136" s="19" t="str">
        <x:v>OpenSees</x:v>
      </x:c>
      <x:c r="Z136" s="6" t="str">
        <x:v>K形桁架节点连接决定传力，采用轴力单元模型直接核对</x:v>
      </x:c>
      <x:c r="AA13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6" s="6" t="str">
        <x:v>待逐题验证</x:v>
      </x:c>
      <x:c r="AC136" s="6" t="str">
        <x:v>未逐题验收；前置检查项：机构与连通性需独立验证，并核对拓扑缺项澄清后的模型更新和结果定位；不把一般OpenSees支持等同于当前StructureClaw已实现。</x:v>
      </x:c>
      <x:c r="AD13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6m竖杆中点的Ux/Uz，左支承反力及附表指定首根下弦/底边杆轴力。</x:v>
      </x:c>
      <x:c r="AF136" s="6" t="str">
        <x:v>OPS；COMMON</x:v>
      </x:c>
    </x:row>
    <x:row r="137" ht="81" customHeight="1">
      <x:c r="A137" s="14" t="str">
        <x:v>INT-036</x:v>
      </x:c>
      <x:c r="B137" s="11" t="str">
        <x:v>交互鲁棒性</x:v>
      </x:c>
      <x:c r="C137" s="18" t="str">
        <x:v>M-INT-036</x:v>
      </x:c>
      <x:c r="D137" s="11" t="str">
        <x:v>交叉斜杆不相连的合法对照</x:v>
      </x:c>
      <x:c r="E137" s="11" t="str">
        <x:v>桁架</x:v>
      </x:c>
      <x:c r="F137" s="18" t="str">
        <x:v>2D</x:v>
      </x:c>
      <x:c r="G137" s="11" t="str">
        <x:v>拓扑语义直接执行</x:v>
      </x:c>
      <x:c r="H137" s="18" t="str">
        <x:v>L2</x:v>
      </x:c>
      <x:c r="I137" s="11" t="str">
        <x:v>线段交叉不等于节点，需保持明确连接语义</x:v>
      </x:c>
      <x:c r="J137" s="18" t="str">
        <x:v>英文</x:v>
      </x:c>
      <x:c r="K137" s="11" t="str">
        <x:v>文本单轮＋完整属性附件（仅暂缺项除外）</x:v>
      </x:c>
      <x:c r="L137" s="22" t="n">
        <x:v>1</x:v>
      </x:c>
      <x:c r="M137" s="11" t="str">
        <x:v>T1所用独立模型为M-INT-036（两种斜杆面积的交叉杆系）。T1完整给M-INT-036及节点连接表，强调所有X腹杆交叉处互不连接。</x:v>
      </x:c>
      <x:c r="N137" s="11" t="str">
        <x:v>交叉线不自动成结构节点；截面分组的独立状态保持</x:v>
      </x:c>
      <x:c r="O137" s="11" t="str">
        <x:v>x=6m上弦的Ux/Uz，左支承反力及附表指定首根下弦/底边杆轴力；所有值附位置、方向、单位、工况及当前轮次；澄清前不编造数值。</x:v>
      </x:c>
      <x:c r="P137" s="11" t="str">
        <x:v>不自动加交叉节点；不询问已明确的连接语义；各杆仍按两端轴力杆建模；按斜率区分两组面积，交叉仍无节点。</x:v>
      </x:c>
      <x:c r="Q137" s="18" t="str">
        <x:v>新增</x:v>
      </x:c>
      <x:c r="R137" s="11" t="str">
        <x:v>无</x:v>
      </x:c>
      <x:c r="S137" s="11" t="str">
        <x:v>无</x:v>
      </x:c>
      <x:c r="T137" s="11" t="str">
        <x:v>新增交互场景；独立起始模型来源另见M-INT-036，不把同基础模型计为旧交互题沿用。该题已有独立物理改动，不与其他任务共享模型。</x:v>
      </x:c>
      <x:c r="U13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7" s="11" t="str">
        <x:v>基础工具；逐轮状态与目标/非目标差异评测待实现</x:v>
      </x:c>
      <x:c r="W137" s="11" t="str">
        <x:v>规划，待编题与验证</x:v>
      </x:c>
      <x:c r="X137" s="11" t="str">
        <x:v>OpenSees</x:v>
      </x:c>
      <x:c r="Y137" s="18" t="str">
        <x:v>OpenSees</x:v>
      </x:c>
      <x:c r="Z137" s="11" t="str">
        <x:v>交叉腹杆不相连与杆件分组适合显式桁架拓扑</x:v>
      </x:c>
      <x:c r="AA13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7" s="11" t="str">
        <x:v>待逐题验证</x:v>
      </x:c>
      <x:c r="AC137" s="11" t="str">
        <x:v>未逐题验收；前置检查项：基础工具，并核对拓扑语义直接执行后的模型更新和结果定位；不把一般OpenSees支持等同于当前StructureClaw已实现。</x:v>
      </x:c>
      <x:c r="AD137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6m上弦的Ux/Uz，左支承反力及附表指定首根下弦/底边杆轴力。</x:v>
      </x:c>
      <x:c r="AF137" s="11" t="str">
        <x:v>OPS；COMMON</x:v>
      </x:c>
    </x:row>
    <x:row r="138" ht="81" customHeight="1">
      <x:c r="A138" s="15" t="str">
        <x:v>INT-037</x:v>
      </x:c>
      <x:c r="B138" s="6" t="str">
        <x:v>交互鲁棒性</x:v>
      </x:c>
      <x:c r="C138" s="19" t="str">
        <x:v>M-INT-037</x:v>
      </x:c>
      <x:c r="D138" s="6" t="str">
        <x:v>不等节间遗漏一段长度</x:v>
      </x:c>
      <x:c r="E138" s="6" t="str">
        <x:v>桁架</x:v>
      </x:c>
      <x:c r="F138" s="19" t="str">
        <x:v>2D</x:v>
      </x:c>
      <x:c r="G138" s="6" t="str">
        <x:v>局部几何补全</x:v>
      </x:c>
      <x:c r="H138" s="19" t="str">
        <x:v>L2</x:v>
      </x:c>
      <x:c r="I138" s="6" t="str">
        <x:v>遗漏中段长度不能由总跨度平均填补</x:v>
      </x:c>
      <x:c r="J138" s="19" t="str">
        <x:v>中文</x:v>
      </x:c>
      <x:c r="K138" s="6" t="str">
        <x:v>文本2轮＋完整属性附件（仅暂缺项除外）</x:v>
      </x:c>
      <x:c r="L138" s="23" t="n">
        <x:v>2</x:v>
      </x:c>
      <x:c r="M138" s="6" t="str">
        <x:v>T1采用独立模型M-INT-037：节间1/3/4长2/4/3m，第二节间空缺；同时隐藏总跨及第二节间以后累计X坐标；连接/荷载用节点标签，附加X向4kN在第二节间右端上弦U2；T2补第二节间3m并恢复坐标表。</x:v>
      </x:c>
      <x:c r="N138" s="6" t="str">
        <x:v>不等节间坐标累加和载荷对应；荷载分量的独立状态保持</x:v>
      </x:c>
      <x:c r="O138" s="6" t="str">
        <x:v>x=5m上弦的Ux/Uz，左支承反力及附表指定首根下弦/底边杆轴力；所有值附位置、方向、单位、工况及当前轮次；澄清前不编造数值。</x:v>
      </x:c>
      <x:c r="P138" s="6" t="str">
        <x:v>T2累计X=0/2/5/9/12m，U2位于x=5m；各节点荷载及拓扑不变；T1不泄漏可反推长度的总跨/坐标；若其他给定信息已唯一确定长度，允许说明依据直接恢复。</x:v>
      </x:c>
      <x:c r="Q138" s="19" t="str">
        <x:v>旧题改编</x:v>
      </x:c>
      <x:c r="R138" s="6" t="str">
        <x:v>robust-truss-missing-panels</x:v>
      </x:c>
      <x:c r="S138" s="6" t="str">
        <x:v>无</x:v>
      </x:c>
      <x:c r="T138" s="6" t="str">
        <x:v>旧题交互机制迁入M-INT-037；补齐属性、完成计算与更新不变量；本行轮次为新契约，旧数字不直接沿用。该题已有独立物理改动，不与其他任务共享模型。</x:v>
      </x:c>
      <x:c r="U13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8" s="6" t="str">
        <x:v>基础工具；逐轮状态与目标/非目标差异评测待实现；缺项输入需检查总跨/累计坐标/荷载位置是否泄漏答案</x:v>
      </x:c>
      <x:c r="W138" s="6" t="str">
        <x:v>规划，待编题与验证</x:v>
      </x:c>
      <x:c r="X138" s="6" t="str">
        <x:v>OpenSees</x:v>
      </x:c>
      <x:c r="Y138" s="19" t="str">
        <x:v>OpenSees</x:v>
      </x:c>
      <x:c r="Z138" s="6" t="str">
        <x:v>2D桁架的局部几何补全，重点是不等节间坐标累加和载荷对应，用显式杆系模型核对状态与响应。</x:v>
      </x:c>
      <x:c r="AA13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8" s="6" t="str">
        <x:v>待逐题验证</x:v>
      </x:c>
      <x:c r="AC138" s="6" t="str">
        <x:v>未逐题验收；前置检查项：基础工具，并核对局部几何补全后的模型更新和结果定位；不把一般OpenSees支持等同于当前StructureClaw已实现。</x:v>
      </x:c>
      <x:c r="AD13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5m上弦的Ux/Uz，左支承反力及附表指定首根下弦/底边杆轴力。</x:v>
      </x:c>
      <x:c r="AF138" s="6" t="str">
        <x:v>OPS；COMMON</x:v>
      </x:c>
    </x:row>
    <x:row r="139" ht="81" customHeight="1">
      <x:c r="A139" s="14" t="str">
        <x:v>INT-038</x:v>
      </x:c>
      <x:c r="B139" s="11" t="str">
        <x:v>交互鲁棒性</x:v>
      </x:c>
      <x:c r="C139" s="18" t="str">
        <x:v>M-INT-038</x:v>
      </x:c>
      <x:c r="D139" s="11" t="str">
        <x:v>单坡桁架坐标修订保留连接</x:v>
      </x:c>
      <x:c r="E139" s="11" t="str">
        <x:v>桁架</x:v>
      </x:c>
      <x:c r="F139" s="18" t="str">
        <x:v>2D</x:v>
      </x:c>
      <x:c r="G139" s="11" t="str">
        <x:v>非规则几何更新</x:v>
      </x:c>
      <x:c r="H139" s="18" t="str">
        <x:v>L3</x:v>
      </x:c>
      <x:c r="I139" s="11" t="str">
        <x:v>非对称杆系节点移动不可重套对称模板</x:v>
      </x:c>
      <x:c r="J139" s="18" t="str">
        <x:v>英文</x:v>
      </x:c>
      <x:c r="K139" s="11" t="str">
        <x:v>文本2轮＋完整属性附件（仅暂缺项除外）</x:v>
      </x:c>
      <x:c r="L139" s="22" t="n">
        <x:v>2</x:v>
      </x:c>
      <x:c r="M139" s="11" t="str">
        <x:v>T1所用独立模型为M-INT-038（单坡上下弦采用不同材料的桁架）。T1建立M-INT-038；T2仅将最高端上弦节点z由3改3.3m，连接与三处荷载保持。</x:v>
      </x:c>
      <x:c r="N139" s="11" t="str">
        <x:v>非对称几何和非模板拓扑；材料分组的独立状态保持</x:v>
      </x:c>
      <x:c r="O139" s="11" t="str">
        <x:v>x=15m上弦的Ux/Uz，左支承反力及附表指定首根下弦/底边杆轴力；所有值附位置、方向、单位、工况及当前轮次；澄清前不编造数值。</x:v>
      </x:c>
      <x:c r="P139" s="11" t="str">
        <x:v>只移动目标上弦节点；杆件随端点变化；不得整体抬高上弦或改变荷载点ID；抬高最高端节点时仍保留材料角色分组。</x:v>
      </x:c>
      <x:c r="Q139" s="18" t="str">
        <x:v>新增</x:v>
      </x:c>
      <x:c r="R139" s="11" t="str">
        <x:v>无</x:v>
      </x:c>
      <x:c r="S139" s="11" t="str">
        <x:v>无</x:v>
      </x:c>
      <x:c r="T139" s="11" t="str">
        <x:v>新增交互场景；独立起始模型来源另见M-INT-038，不把同基础模型计为旧交互题沿用。该题已有独立物理改动，不与其他任务共享模型。</x:v>
      </x:c>
      <x:c r="U13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39" s="11" t="str">
        <x:v>机构与连通性需独立验证；逐轮状态与目标/非目标差异评测待实现</x:v>
      </x:c>
      <x:c r="W139" s="11" t="str">
        <x:v>规划，待编题与验证</x:v>
      </x:c>
      <x:c r="X139" s="11" t="str">
        <x:v>OpenSees</x:v>
      </x:c>
      <x:c r="Y139" s="18" t="str">
        <x:v>OpenSees</x:v>
      </x:c>
      <x:c r="Z139" s="11" t="str">
        <x:v>2D桁架的非规则几何更新，重点是非对称几何和非模板拓扑，用显式杆系模型核对状态与响应。</x:v>
      </x:c>
      <x:c r="AA13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39" s="11" t="str">
        <x:v>待逐题验证</x:v>
      </x:c>
      <x:c r="AC139" s="11" t="str">
        <x:v>未逐题验收；前置检查项：机构与连通性需独立验证，并核对非规则几何更新后的模型更新和结果定位；不把一般OpenSees支持等同于当前StructureClaw已实现。</x:v>
      </x:c>
      <x:c r="AD139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3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15m上弦的Ux/Uz，左支承反力及附表指定首根下弦/底边杆轴力。</x:v>
      </x:c>
      <x:c r="AF139" s="11" t="str">
        <x:v>OPS；COMMON</x:v>
      </x:c>
    </x:row>
    <x:row r="140" ht="81" customHeight="1">
      <x:c r="A140" s="15" t="str">
        <x:v>INT-039</x:v>
      </x:c>
      <x:c r="B140" s="6" t="str">
        <x:v>交互鲁棒性</x:v>
      </x:c>
      <x:c r="C140" s="19" t="str">
        <x:v>M-INT-039</x:v>
      </x:c>
      <x:c r="D140" s="6" t="str">
        <x:v>弦杆腹杆材料表引用冲突</x:v>
      </x:c>
      <x:c r="E140" s="6" t="str">
        <x:v>桁架</x:v>
      </x:c>
      <x:c r="F140" s="19" t="str">
        <x:v>2D</x:v>
      </x:c>
      <x:c r="G140" s="6" t="str">
        <x:v>分组属性澄清与更新</x:v>
      </x:c>
      <x:c r="H140" s="19" t="str">
        <x:v>L3</x:v>
      </x:c>
      <x:c r="I140" s="6" t="str">
        <x:v>多个构件组与多次属性修改易误覆盖</x:v>
      </x:c>
      <x:c r="J140" s="19" t="str">
        <x:v>中文</x:v>
      </x:c>
      <x:c r="K140" s="6" t="str">
        <x:v>文本3轮＋完整属性附件（仅暂缺项除外）</x:v>
      </x:c>
      <x:c r="L140" s="23" t="n">
        <x:v>3</x:v>
      </x:c>
      <x:c r="M140" s="6" t="str">
        <x:v>T1所用独立模型为M-INT-039（上弦局部上拔的分组截面桁架）。T1给M-INT-039但A2同时标为上弦和下弦；T2确认上弦A1、下弦A2、腹杆A3；T3仅腹杆改A4。</x:v>
      </x:c>
      <x:c r="N140" s="6" t="str">
        <x:v>构件组属性与拓扑荷载联合映射；荷载工况的独立状态保持</x:v>
      </x:c>
      <x:c r="O140" s="6" t="str">
        <x:v>x=8m上弦的Ux/Uz，左支承反力及附表指定首根下弦/底边杆轴力；所有值附位置、方向、单位、工况及当前轮次；澄清前不编造数值。</x:v>
      </x:c>
      <x:c r="P140" s="6" t="str">
        <x:v>最终三组为A1/A2/A4；荷载与节点不变；完整实物面积记录同步；W只两处向上，截面组修订不影响其归属。</x:v>
      </x:c>
      <x:c r="Q140" s="19" t="str">
        <x:v>新增</x:v>
      </x:c>
      <x:c r="R140" s="6" t="str">
        <x:v>无</x:v>
      </x:c>
      <x:c r="S140" s="6" t="str">
        <x:v>无</x:v>
      </x:c>
      <x:c r="T140" s="6" t="str">
        <x:v>新增交互场景；独立起始模型来源另见M-INT-039，不把同基础模型计为旧交互题沿用。该题已有独立物理改动，不与其他任务共享模型。</x:v>
      </x:c>
      <x:c r="U140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0" s="6" t="str">
        <x:v>基础工具；多工况执行契约需验证；逐轮状态与目标/非目标差异评测待实现</x:v>
      </x:c>
      <x:c r="W140" s="6" t="str">
        <x:v>规划，待编题与验证</x:v>
      </x:c>
      <x:c r="X140" s="6" t="str">
        <x:v>OpenSees</x:v>
      </x:c>
      <x:c r="Y140" s="19" t="str">
        <x:v>OpenSees</x:v>
      </x:c>
      <x:c r="Z140" s="6" t="str">
        <x:v>2D桁架的分组属性澄清与更新，重点是构件组属性与拓扑荷载联合映射，用显式杆系模型核对状态与响应。</x:v>
      </x:c>
      <x:c r="AA140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0" s="6" t="str">
        <x:v>待逐题验证</x:v>
      </x:c>
      <x:c r="AC140" s="6" t="str">
        <x:v>未逐题验收；前置检查项：基础工具；多工况执行契约需验证，并核对分组属性澄清与更新后的模型更新和结果定位；不把一般OpenSees支持等同于当前StructureClaw已实现。</x:v>
      </x:c>
      <x:c r="AD140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4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x=8m上弦的Ux/Uz，左支承反力及附表指定首根下弦/底边杆轴力。</x:v>
      </x:c>
      <x:c r="AF140" s="6" t="str">
        <x:v>OPS；COMMON</x:v>
      </x:c>
    </x:row>
    <x:row r="141" ht="81" customHeight="1">
      <x:c r="A141" s="14" t="str">
        <x:v>INT-040</x:v>
      </x:c>
      <x:c r="B141" s="11" t="str">
        <x:v>交互鲁棒性</x:v>
      </x:c>
      <x:c r="C141" s="18" t="str">
        <x:v>M-INT-040</x:v>
      </x:c>
      <x:c r="D141" s="11" t="str">
        <x:v>四面体支座约束补一项</x:v>
      </x:c>
      <x:c r="E141" s="11" t="str">
        <x:v>桁架</x:v>
      </x:c>
      <x:c r="F141" s="18" t="str">
        <x:v>3D</x:v>
      </x:c>
      <x:c r="G141" s="11" t="str">
        <x:v>空间边界缺项澄清</x:v>
      </x:c>
      <x:c r="H141" s="18" t="str">
        <x:v>L3</x:v>
      </x:c>
      <x:c r="I141" s="11" t="str">
        <x:v>缺失一个独立约束可能留下刚体自由度</x:v>
      </x:c>
      <x:c r="J141" s="18" t="str">
        <x:v>英文</x:v>
      </x:c>
      <x:c r="K141" s="11" t="str">
        <x:v>文本2轮＋完整属性附件（仅暂缺项除外）</x:v>
      </x:c>
      <x:c r="L141" s="22" t="n">
        <x:v>2</x:v>
      </x:c>
      <x:c r="M141" s="11" t="str">
        <x:v>T1给独立模型M-INT-040：A的XYZ固定，B的Z固定但Y约束字段空缺，C的Z固定，未列方向自由；不声明总约束数；T2确认B的Y固定，补齐后分析。</x:v>
      </x:c>
      <x:c r="N141" s="11" t="str">
        <x:v>空间杆连接与消除刚体运动约束；截面分组的独立状态保持</x:v>
      </x:c>
      <x:c r="O141" s="11" t="str">
        <x:v>顶点D的Ux/Uz/Uy，左支承反力及附表指定首根下弦/底边杆轴力；所有值附位置、方向、单位、工况及当前轮次；澄清前不编造数值。</x:v>
      </x:c>
      <x:c r="P141" s="11" t="str">
        <x:v>共六项独立平移约束，不自动全固定三底点；T1只补问B的Y约束；独立核验无刚体运动，顶点力保持；AD加强杆保持；约束仍按指定六项而非全底面固定；若已有信息可唯一推得缺项，接受说明依据后直接完成，否则再澄清。</x:v>
      </x:c>
      <x:c r="Q141" s="18" t="str">
        <x:v>新增</x:v>
      </x:c>
      <x:c r="R141" s="11" t="str">
        <x:v>无</x:v>
      </x:c>
      <x:c r="S141" s="11" t="str">
        <x:v>无</x:v>
      </x:c>
      <x:c r="T141" s="11" t="str">
        <x:v>新增交互场景；独立起始模型来源另见M-INT-040，不把同基础模型计为旧交互题沿用。该题已有独立物理改动，不与其他任务共享模型。</x:v>
      </x:c>
      <x:c r="U14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1" s="11" t="str">
        <x:v>空间桁架及独立真值需验证；逐轮状态与目标/非目标差异评测待实现</x:v>
      </x:c>
      <x:c r="W141" s="11" t="str">
        <x:v>规划，待编题与验证</x:v>
      </x:c>
      <x:c r="X141" s="11" t="str">
        <x:v>OpenSees</x:v>
      </x:c>
      <x:c r="Y141" s="18" t="str">
        <x:v>OpenSees</x:v>
      </x:c>
      <x:c r="Z141" s="11" t="str">
        <x:v>空间桁架独立约束与节点力学，不需建筑楼层模型</x:v>
      </x:c>
      <x:c r="AA14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1" s="11" t="str">
        <x:v>待逐题验证</x:v>
      </x:c>
      <x:c r="AC141" s="11" t="str">
        <x:v>未逐题验收；前置检查项：空间桁架及独立真值需验证，并核对空间边界缺项澄清后的模型更新和结果定位；不把一般OpenSees支持等同于当前StructureClaw已实现。</x:v>
      </x:c>
      <x:c r="AD141" s="11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4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顶点D的Ux/Uz/Uy，左支承反力及附表指定首根下弦/底边杆轴力。</x:v>
      </x:c>
      <x:c r="AF141" s="11" t="str">
        <x:v>OPS；COMMON</x:v>
      </x:c>
    </x:row>
    <x:row r="142" ht="81" customHeight="1">
      <x:c r="A142" s="15" t="str">
        <x:v>INT-041</x:v>
      </x:c>
      <x:c r="B142" s="6" t="str">
        <x:v>交互鲁棒性</x:v>
      </x:c>
      <x:c r="C142" s="19" t="str">
        <x:v>M-INT-041</x:v>
      </x:c>
      <x:c r="D142" s="6" t="str">
        <x:v>方锥顶点双向力澄清</x:v>
      </x:c>
      <x:c r="E142" s="6" t="str">
        <x:v>桁架</x:v>
      </x:c>
      <x:c r="F142" s="19" t="str">
        <x:v>3D</x:v>
      </x:c>
      <x:c r="G142" s="6" t="str">
        <x:v>空间分量澄清</x:v>
      </x:c>
      <x:c r="H142" s="19" t="str">
        <x:v>L3</x:v>
      </x:c>
      <x:c r="I142" s="6" t="str">
        <x:v>非中心顶点和两力分量需共同映射</x:v>
      </x:c>
      <x:c r="J142" s="19" t="str">
        <x:v>中文</x:v>
      </x:c>
      <x:c r="K142" s="6" t="str">
        <x:v>文本2轮＋完整属性附件（仅暂缺项除外）</x:v>
      </x:c>
      <x:c r="L142" s="23" t="n">
        <x:v>2</x:v>
      </x:c>
      <x:c r="M142" s="6" t="str">
        <x:v>T1所用独立模型为M-INT-041（一根斜杆加强的偏心方锥）。T1给M-INT-041但把顶点一项20kN标为水平未说X或Y；T2确认全局X正向，另一项全局Z负向30kN。</x:v>
      </x:c>
      <x:c r="N142" s="6" t="str">
        <x:v>偏心空间几何和三向力分量；截面分组的独立状态保持</x:v>
      </x:c>
      <x:c r="O142" s="6" t="str">
        <x:v>顶点(2,3,3)m的Ux/Uz/Uy，左支承反力及附表指定首根下弦/底边杆轴力；所有值附位置、方向、单位、工况及当前轮次；澄清前不编造数值。</x:v>
      </x:c>
      <x:c r="P142" s="6" t="str">
        <x:v>保持偏心顶点和四底固定；不能把20kN平均分给X/Y；杆系按表；偏心顶点及指定斜杆加强保持，双向荷载按全局分量。</x:v>
      </x:c>
      <x:c r="Q142" s="19" t="str">
        <x:v>新增</x:v>
      </x:c>
      <x:c r="R142" s="6" t="str">
        <x:v>无</x:v>
      </x:c>
      <x:c r="S142" s="6" t="str">
        <x:v>无</x:v>
      </x:c>
      <x:c r="T142" s="6" t="str">
        <x:v>新增交互场景；独立起始模型来源另见M-INT-041，不把同基础模型计为旧交互题沿用。该题已有独立物理改动，不与其他任务共享模型。</x:v>
      </x:c>
      <x:c r="U142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2" s="6" t="str">
        <x:v>空间桁架及独立真值需验证；逐轮状态与目标/非目标差异评测待实现</x:v>
      </x:c>
      <x:c r="W142" s="6" t="str">
        <x:v>规划，待编题与验证</x:v>
      </x:c>
      <x:c r="X142" s="6" t="str">
        <x:v>OpenSees</x:v>
      </x:c>
      <x:c r="Y142" s="19" t="str">
        <x:v>OpenSees</x:v>
      </x:c>
      <x:c r="Z142" s="6" t="str">
        <x:v>空间方锥桁架方向澄清与斜杆刚度属于杆系力学</x:v>
      </x:c>
      <x:c r="AA142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2" s="6" t="str">
        <x:v>待逐题验证</x:v>
      </x:c>
      <x:c r="AC142" s="6" t="str">
        <x:v>未逐题验收；前置检查项：空间桁架及独立真值需验证，并核对空间分量澄清后的模型更新和结果定位；不把一般OpenSees支持等同于当前StructureClaw已实现。</x:v>
      </x:c>
      <x:c r="AD142" s="6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4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顶点(2,3,3)m的Ux/Uz/Uy，左支承反力及附表指定首根下弦/底边杆轴力。</x:v>
      </x:c>
      <x:c r="AF142" s="6" t="str">
        <x:v>OPS；COMMON</x:v>
      </x:c>
    </x:row>
    <x:row r="143" ht="81" customHeight="1">
      <x:c r="A143" s="14" t="str">
        <x:v>INT-042</x:v>
      </x:c>
      <x:c r="B143" s="11" t="str">
        <x:v>交互鲁棒性</x:v>
      </x:c>
      <x:c r="C143" s="18" t="str">
        <x:v>M-INT-042</x:v>
      </x:c>
      <x:c r="D143" s="11" t="str">
        <x:v>空间桁架跨层杆修改并撤销</x:v>
      </x:c>
      <x:c r="E143" s="11" t="str">
        <x:v>桁架</x:v>
      </x:c>
      <x:c r="F143" s="18" t="str">
        <x:v>3D</x:v>
      </x:c>
      <x:c r="G143" s="11" t="str">
        <x:v>空间拓扑修改与撤销</x:v>
      </x:c>
      <x:c r="H143" s="18" t="str">
        <x:v>L3</x:v>
      </x:c>
      <x:c r="I143" s="11" t="str">
        <x:v>跨层端点编号相似，撤销不能影响别的层</x:v>
      </x:c>
      <x:c r="J143" s="18" t="str">
        <x:v>英文</x:v>
      </x:c>
      <x:c r="K143" s="11" t="str">
        <x:v>文本3轮＋完整属性附件（仅暂缺项除外）</x:v>
      </x:c>
      <x:c r="L143" s="22" t="n">
        <x:v>3</x:v>
      </x:c>
      <x:c r="M143" s="11" t="str">
        <x:v>T1所用独立模型为M-INT-042（分层弦杆不同面积的空间三角柱）。T1建立M-INT-042；T2按拟提供且编题前须核验的连接表B替换顶层两根斜杆；T3撤销此项替换恢复表A。</x:v>
      </x:c>
      <x:c r="N143" s="11" t="str">
        <x:v>跨层空间连接与杆件组；截面分组的独立状态保持</x:v>
      </x:c>
      <x:c r="O143" s="11" t="str">
        <x:v>顶层(0,0,6)m节点的Ux/Uz/Uy，左支承反力及附表指定首根下弦/底边杆轴力；所有值附位置、方向、单位、工况及当前轮次；澄清前不编造数值。</x:v>
      </x:c>
      <x:c r="P143" s="11" t="str">
        <x:v>每轮仅指定斜杆变化；最终杆件集合回到M-INT-042；侧载层位与所有弦杆不变；下层竖弦加强不随上层斜杆替换或撤销改变。</x:v>
      </x:c>
      <x:c r="Q143" s="18" t="str">
        <x:v>新增</x:v>
      </x:c>
      <x:c r="R143" s="11" t="str">
        <x:v>无</x:v>
      </x:c>
      <x:c r="S143" s="11" t="str">
        <x:v>无</x:v>
      </x:c>
      <x:c r="T143" s="11" t="str">
        <x:v>新增交互场景；独立起始模型来源另见M-INT-042，不把同基础模型计为旧交互题沿用。该题已有独立物理改动，不与其他任务共享模型。</x:v>
      </x:c>
      <x:c r="U143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3" s="11" t="str">
        <x:v>空间桁架及独立真值需验证；逐轮状态与目标/非目标差异评测待实现</x:v>
      </x:c>
      <x:c r="W143" s="11" t="str">
        <x:v>规划，待编题与验证</x:v>
      </x:c>
      <x:c r="X143" s="11" t="str">
        <x:v>OpenSees</x:v>
      </x:c>
      <x:c r="Y143" s="18" t="str">
        <x:v>OpenSees</x:v>
      </x:c>
      <x:c r="Z143" s="11" t="str">
        <x:v>空间桁架局部连接替换与撤销，适合显式轴力杆拓扑</x:v>
      </x:c>
      <x:c r="AA143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3" s="11" t="str">
        <x:v>待逐题验证</x:v>
      </x:c>
      <x:c r="AC143" s="11" t="str">
        <x:v>未逐题验收；前置检查项：空间桁架及独立真值需验证，并核对空间拓扑修改与撤销后的模型更新和结果定位；不把一般OpenSees支持等同于当前StructureClaw已实现。</x:v>
      </x:c>
      <x:c r="AD143" s="11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4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顶层(0,0,6)m节点的Ux/Uz/Uy，左支承反力及附表指定首根下弦/底边杆轴力。</x:v>
      </x:c>
      <x:c r="AF143" s="11" t="str">
        <x:v>OPS；COMMON</x:v>
      </x:c>
    </x:row>
    <x:row r="144" ht="67.5" customHeight="1">
      <x:c r="A144" s="15" t="str">
        <x:v>INT-043</x:v>
      </x:c>
      <x:c r="B144" s="6" t="str">
        <x:v>交互鲁棒性</x:v>
      </x:c>
      <x:c r="C144" s="19" t="str">
        <x:v>M-INT-043</x:v>
      </x:c>
      <x:c r="D144" s="6" t="str">
        <x:v>平屋面门架高度更新</x:v>
      </x:c>
      <x:c r="E144" s="6" t="str">
        <x:v>门式刚架</x:v>
      </x:c>
      <x:c r="F144" s="19" t="str">
        <x:v>2D</x:v>
      </x:c>
      <x:c r="G144" s="6" t="str">
        <x:v>几何联动更新</x:v>
      </x:c>
      <x:c r="H144" s="19" t="str">
        <x:v>L2</x:v>
      </x:c>
      <x:c r="I144" s="6" t="str">
        <x:v>两柱及屋面节点需一起移动而非只改标签</x:v>
      </x:c>
      <x:c r="J144" s="19" t="str">
        <x:v>中文</x:v>
      </x:c>
      <x:c r="K144" s="6" t="str">
        <x:v>文本2轮＋完整属性附件（仅暂缺项除外）</x:v>
      </x:c>
      <x:c r="L144" s="23" t="n">
        <x:v>2</x:v>
      </x:c>
      <x:c r="M144" s="6" t="str">
        <x:v>T1所用独立模型为M-INT-043（左铰右固的平屋面门架）。T1建立M-INT-043；T2柱高与屋面标高由7改9m，左铰右固、6kN/m及跨18m不变。</x:v>
      </x:c>
      <x:c r="N144" s="6" t="str">
        <x:v>平屋面几何和固定柱脚；边界的独立状态保持</x:v>
      </x:c>
      <x:c r="O144" s="6" t="str">
        <x:v>最高层最右梁柱节点Ux/Uz及最左首层柱底My/Rz；所有值附位置、方向、单位、工况及当前轮次；澄清前不编造数值。</x:v>
      </x:c>
      <x:c r="P144" s="6" t="str">
        <x:v>两柱顶同时z=9m；跨18m、左铰右固及6kN/m保持；重算不能沿用7m结果；左铰右固定，不能沿用旧两柱脚固定边界。</x:v>
      </x:c>
      <x:c r="Q144" s="19" t="str">
        <x:v>旧题改编</x:v>
      </x:c>
      <x:c r="R144" s="6" t="str">
        <x:v>robust-update-portal-height</x:v>
      </x:c>
      <x:c r="S144" s="6" t="str">
        <x:v>无</x:v>
      </x:c>
      <x:c r="T144" s="6" t="str">
        <x:v>旧题交互机制迁入M-INT-043；补齐属性、完成计算与更新不变量；本行轮次为新契约，旧数字不直接沿用。该题已有独立物理改动，不与其他任务共享模型。</x:v>
      </x:c>
      <x:c r="U14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4" s="6" t="str">
        <x:v>基础工具；逐轮状态与目标/非目标差异评测待实现</x:v>
      </x:c>
      <x:c r="W144" s="6" t="str">
        <x:v>规划，待编题与验证</x:v>
      </x:c>
      <x:c r="X144" s="6" t="str">
        <x:v>OpenSees</x:v>
      </x:c>
      <x:c r="Y144" s="19" t="str">
        <x:v>OpenSees</x:v>
      </x:c>
      <x:c r="Z144" s="6" t="str">
        <x:v>2D门式刚架的几何联动更新，重点是平屋面几何和固定柱脚，用显式杆系模型核对状态与响应。</x:v>
      </x:c>
      <x:c r="AA14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4" s="6" t="str">
        <x:v>待逐题验证</x:v>
      </x:c>
      <x:c r="AC144" s="6" t="str">
        <x:v>未逐题验收；前置检查项：基础工具，并核对几何联动更新后的模型更新和结果定位；不把一般OpenSees支持等同于当前StructureClaw已实现。</x:v>
      </x:c>
      <x:c r="AD144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4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44" s="6" t="str">
        <x:v>OPS；COMMON</x:v>
      </x:c>
    </x:row>
    <x:row r="145" ht="67.5" customHeight="1">
      <x:c r="A145" s="14" t="str">
        <x:v>INT-044</x:v>
      </x:c>
      <x:c r="B145" s="11" t="str">
        <x:v>交互鲁棒性</x:v>
      </x:c>
      <x:c r="C145" s="18" t="str">
        <x:v>M-INT-044</x:v>
      </x:c>
      <x:c r="D145" s="11" t="str">
        <x:v>双跨门架总宽度冲突</x:v>
      </x:c>
      <x:c r="E145" s="11" t="str">
        <x:v>门式刚架</x:v>
      </x:c>
      <x:c r="F145" s="18" t="str">
        <x:v>2D</x:v>
      </x:c>
      <x:c r="G145" s="11" t="str">
        <x:v>尺寸冲突澄清</x:v>
      </x:c>
      <x:c r="H145" s="18" t="str">
        <x:v>L2</x:v>
      </x:c>
      <x:c r="I145" s="11" t="str">
        <x:v>分跨总和与总宽不能同时成立</x:v>
      </x:c>
      <x:c r="J145" s="18" t="str">
        <x:v>英文</x:v>
      </x:c>
      <x:c r="K145" s="11" t="str">
        <x:v>文本2轮＋完整属性附件（仅暂缺项除外）</x:v>
      </x:c>
      <x:c r="L145" s="22" t="n">
        <x:v>2</x:v>
      </x:c>
      <x:c r="M145" s="11" t="str">
        <x:v>T1所用独立模型为M-INT-044（双跨门架右跨集中吊载）。T1给M-INT-044为18+18m，同时总宽写30m；T2确认以分跨为准，总宽36m。</x:v>
      </x:c>
      <x:c r="N145" s="11" t="str">
        <x:v>中柱共节点和双跨连续连接；荷载位置的独立状态保持</x:v>
      </x:c>
      <x:c r="O145" s="11" t="str">
        <x:v>最高层最右梁柱节点Ux/Uz及最左首层柱底My/Rz；所有值附位置、方向、单位、工况及当前轮次；澄清前不编造数值。</x:v>
      </x:c>
      <x:c r="P145" s="11" t="str">
        <x:v>柱线x=0、18、36m；中柱保留；不等比例缩放两跨；右跨附加24kN保持，不能对称复制到左跨。</x:v>
      </x:c>
      <x:c r="Q145" s="18" t="str">
        <x:v>旧题改编</x:v>
      </x:c>
      <x:c r="R145" s="11" t="str">
        <x:v>robust-portal-conflicting-span</x:v>
      </x:c>
      <x:c r="S145" s="11" t="str">
        <x:v>无</x:v>
      </x:c>
      <x:c r="T145" s="11" t="str">
        <x:v>旧题交互机制迁入M-INT-044；补齐属性、完成计算与更新不变量；本行轮次为新契约，旧数字不直接沿用。该题已有独立物理改动，不与其他任务共享模型。</x:v>
      </x:c>
      <x:c r="U14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5" s="11" t="str">
        <x:v>基础工具；逐轮状态与目标/非目标差异评测待实现</x:v>
      </x:c>
      <x:c r="W145" s="11" t="str">
        <x:v>规划，待编题与验证</x:v>
      </x:c>
      <x:c r="X145" s="11" t="str">
        <x:v>OpenSees</x:v>
      </x:c>
      <x:c r="Y145" s="18" t="str">
        <x:v>OpenSees</x:v>
      </x:c>
      <x:c r="Z145" s="11" t="str">
        <x:v>2D门式刚架的尺寸冲突澄清，重点是中柱共节点和双跨连续连接，用显式杆系模型核对状态与响应。</x:v>
      </x:c>
      <x:c r="AA14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5" s="11" t="str">
        <x:v>待逐题验证</x:v>
      </x:c>
      <x:c r="AC145" s="11" t="str">
        <x:v>未逐题验收；前置检查项：基础工具，并核对尺寸冲突澄清后的模型更新和结果定位；不把一般OpenSees支持等同于当前StructureClaw已实现。</x:v>
      </x:c>
      <x:c r="AD145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4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45" s="11" t="str">
        <x:v>OPS；COMMON</x:v>
      </x:c>
    </x:row>
    <x:row r="146" ht="67.5" customHeight="1">
      <x:c r="A146" s="15" t="str">
        <x:v>INT-045</x:v>
      </x:c>
      <x:c r="B146" s="6" t="str">
        <x:v>交互鲁棒性</x:v>
      </x:c>
      <x:c r="C146" s="19" t="str">
        <x:v>M-INT-045</x:v>
      </x:c>
      <x:c r="D146" s="6" t="str">
        <x:v>门架屋面线载单位确认</x:v>
      </x:c>
      <x:c r="E146" s="6" t="str">
        <x:v>门式刚架</x:v>
      </x:c>
      <x:c r="F146" s="19" t="str">
        <x:v>2D</x:v>
      </x:c>
      <x:c r="G146" s="6" t="str">
        <x:v>单位澄清后计算</x:v>
      </x:c>
      <x:c r="H146" s="19" t="str">
        <x:v>L2</x:v>
      </x:c>
      <x:c r="I146" s="6" t="str">
        <x:v>线载与面载必须在确认后采用正确量纲</x:v>
      </x:c>
      <x:c r="J146" s="19" t="str">
        <x:v>中文</x:v>
      </x:c>
      <x:c r="K146" s="6" t="str">
        <x:v>文本2轮＋完整属性附件（仅暂缺项除外）</x:v>
      </x:c>
      <x:c r="L146" s="23" t="n">
        <x:v>2</x:v>
      </x:c>
      <x:c r="M146" s="6" t="str">
        <x:v>T1所用独立模型为M-INT-045（柱中侧力加屋面重力的门架）。T1给M-INT-045屋面荷载数值8但省单位；T2确认8kN/m线载，已折算。</x:v>
      </x:c>
      <x:c r="N146" s="6" t="str">
        <x:v>屋面标高与线载方向；荷载位置的独立状态保持</x:v>
      </x:c>
      <x:c r="O146" s="6" t="str">
        <x:v>最高层最右梁柱节点Ux/Uz及最左首层柱底My/Rz；所有值附位置、方向、单位、工况及当前轮次；澄清前不编造数值。</x:v>
      </x:c>
      <x:c r="P146" s="6" t="str">
        <x:v>不得再次乘受荷宽度；21m跨度和7.5m柱高保持；左柱中部9kN保留，不随屋面单位确认缩放；若已有信息可唯一推得缺项，接受说明依据后直接完成，否则再澄清。</x:v>
      </x:c>
      <x:c r="Q146" s="19" t="str">
        <x:v>旧题改编</x:v>
      </x:c>
      <x:c r="R146" s="6" t="str">
        <x:v>robust-portal-unit-roof-load</x:v>
      </x:c>
      <x:c r="S146" s="6" t="str">
        <x:v>无</x:v>
      </x:c>
      <x:c r="T146" s="6" t="str">
        <x:v>旧题交互机制迁入M-INT-045；补齐属性、完成计算与更新不变量；本行轮次为新契约，旧数字不直接沿用。该题已有独立物理改动，不与其他任务共享模型。</x:v>
      </x:c>
      <x:c r="U14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6" s="6" t="str">
        <x:v>基础工具；逐轮状态与目标/非目标差异评测待实现</x:v>
      </x:c>
      <x:c r="W146" s="6" t="str">
        <x:v>规划，待编题与验证</x:v>
      </x:c>
      <x:c r="X146" s="6" t="str">
        <x:v>OpenSees</x:v>
      </x:c>
      <x:c r="Y146" s="19" t="str">
        <x:v>OpenSees</x:v>
      </x:c>
      <x:c r="Z146" s="6" t="str">
        <x:v>2D门式刚架的单位澄清后计算，重点是屋面标高与线载方向，用显式杆系模型核对状态与响应。</x:v>
      </x:c>
      <x:c r="AA14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6" s="6" t="str">
        <x:v>待逐题验证</x:v>
      </x:c>
      <x:c r="AC146" s="6" t="str">
        <x:v>未逐题验收；前置检查项：基础工具，并核对单位澄清后计算后的模型更新和结果定位；不把一般OpenSees支持等同于当前StructureClaw已实现。</x:v>
      </x:c>
      <x:c r="AD14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4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46" s="6" t="str">
        <x:v>OPS；COMMON</x:v>
      </x:c>
    </x:row>
    <x:row r="147" ht="67.5" customHeight="1">
      <x:c r="A147" s="14" t="str">
        <x:v>INT-046</x:v>
      </x:c>
      <x:c r="B147" s="11" t="str">
        <x:v>交互鲁棒性</x:v>
      </x:c>
      <x:c r="C147" s="18" t="str">
        <x:v>M-INT-046</x:v>
      </x:c>
      <x:c r="D147" s="11" t="str">
        <x:v>吊车力分量定向替换</x:v>
      </x:c>
      <x:c r="E147" s="11" t="str">
        <x:v>门式刚架</x:v>
      </x:c>
      <x:c r="F147" s="18" t="str">
        <x:v>2D</x:v>
      </x:c>
      <x:c r="G147" s="11" t="str">
        <x:v>分量定向更新</x:v>
      </x:c>
      <x:c r="H147" s="18" t="str">
        <x:v>L2</x:v>
      </x:c>
      <x:c r="I147" s="11" t="str">
        <x:v>同节点竖直与水平分量不能一起缩放</x:v>
      </x:c>
      <x:c r="J147" s="18" t="str">
        <x:v>英文</x:v>
      </x:c>
      <x:c r="K147" s="11" t="str">
        <x:v>文本2轮＋完整属性附件（仅暂缺项除外）</x:v>
      </x:c>
      <x:c r="L147" s="22" t="n">
        <x:v>2</x:v>
      </x:c>
      <x:c r="M147" s="11" t="str">
        <x:v>T1所用独立模型为M-INT-046（外柱与中柱刚度不同的吊车门架）。T1建立M-INT-046；T2只将中柱顶X向4.9kN改为负向7kN。</x:v>
      </x:c>
      <x:c r="N147" s="11" t="str">
        <x:v>中柱作用点和不同方向力；截面分组的独立状态保持</x:v>
      </x:c>
      <x:c r="O147" s="11" t="str">
        <x:v>最高层最右梁柱节点Ux/Uz及最左首层柱底My/Rz；所有值附位置、方向、单位、工况及当前轮次；澄清前不编造数值。</x:v>
      </x:c>
      <x:c r="P147" s="11" t="str">
        <x:v>向下49kN和屋面6kN/m保持；水平最终-7而非2.1kN；不改支座；只更新中柱顶水平力，C1/C2和49kN竖力不变。</x:v>
      </x:c>
      <x:c r="Q147" s="18" t="str">
        <x:v>新增</x:v>
      </x:c>
      <x:c r="R147" s="11" t="str">
        <x:v>无</x:v>
      </x:c>
      <x:c r="S147" s="11" t="str">
        <x:v>无</x:v>
      </x:c>
      <x:c r="T147" s="11" t="str">
        <x:v>新增交互场景；独立起始模型来源另见M-INT-046，不把同基础模型计为旧交互题沿用。该题已有独立物理改动，不与其他任务共享模型。</x:v>
      </x:c>
      <x:c r="U14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7" s="11" t="str">
        <x:v>基础工具；逐轮状态与目标/非目标差异评测待实现</x:v>
      </x:c>
      <x:c r="W147" s="11" t="str">
        <x:v>规划，待编题与验证</x:v>
      </x:c>
      <x:c r="X147" s="11" t="str">
        <x:v>OpenSees</x:v>
      </x:c>
      <x:c r="Y147" s="18" t="str">
        <x:v>OpenSees</x:v>
      </x:c>
      <x:c r="Z147" s="11" t="str">
        <x:v>2D门式刚架的分量定向更新，重点是中柱作用点和不同方向力，用显式杆系模型核对状态与响应。</x:v>
      </x:c>
      <x:c r="AA14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7" s="11" t="str">
        <x:v>待逐题验证</x:v>
      </x:c>
      <x:c r="AC147" s="11" t="str">
        <x:v>未逐题验收；前置检查项：基础工具，并核对分量定向更新后的模型更新和结果定位；不把一般OpenSees支持等同于当前StructureClaw已实现。</x:v>
      </x:c>
      <x:c r="AD147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4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47" s="11" t="str">
        <x:v>OPS；COMMON</x:v>
      </x:c>
    </x:row>
    <x:row r="148" ht="67.5" customHeight="1">
      <x:c r="A148" s="15" t="str">
        <x:v>INT-047</x:v>
      </x:c>
      <x:c r="B148" s="6" t="str">
        <x:v>交互鲁棒性</x:v>
      </x:c>
      <x:c r="C148" s="19" t="str">
        <x:v>M-INT-047</x:v>
      </x:c>
      <x:c r="D148" s="6" t="str">
        <x:v>夹层标高更新与荷载范围保持</x:v>
      </x:c>
      <x:c r="E148" s="6" t="str">
        <x:v>门式刚架</x:v>
      </x:c>
      <x:c r="F148" s="19" t="str">
        <x:v>2D</x:v>
      </x:c>
      <x:c r="G148" s="6" t="str">
        <x:v>连接层位更新</x:v>
      </x:c>
      <x:c r="H148" s="19" t="str">
        <x:v>L3</x:v>
      </x:c>
      <x:c r="I148" s="6" t="str">
        <x:v>夹层上移涉及柱分段节点、连接及荷载归属</x:v>
      </x:c>
      <x:c r="J148" s="19" t="str">
        <x:v>中文</x:v>
      </x:c>
      <x:c r="K148" s="6" t="str">
        <x:v>文本2轮＋完整属性附件（仅暂缺项除外）</x:v>
      </x:c>
      <x:c r="L148" s="23" t="n">
        <x:v>2</x:v>
      </x:c>
      <x:c r="M148" s="6" t="str">
        <x:v>T1所用独立模型为M-INT-047（带右侧固定短挑梁的夹层门架）。T1建立M-INT-047；T2夹层标高3改4m，悬挑仍6m且夹层4kN/m。</x:v>
      </x:c>
      <x:c r="N148" s="6" t="str">
        <x:v>柱上分段接入夹层及载荷分组；拓扑的独立状态保持</x:v>
      </x:c>
      <x:c r="O148" s="6" t="str">
        <x:v>最高层最右梁柱节点Ux/Uz及最左首层柱底My/Rz；所有值附位置、方向、单位、工况及当前轮次；澄清前不编造数值。</x:v>
      </x:c>
      <x:c r="P148" s="6" t="str">
        <x:v>只上移夹层节点及对应连接；屋面7m、屋面6kN/m不变；旧节点不遗留悬空杆；右侧短挑梁z=5m、长2m及3kN/m固定，左夹层移动不能牵连。</x:v>
      </x:c>
      <x:c r="Q148" s="19" t="str">
        <x:v>新增</x:v>
      </x:c>
      <x:c r="R148" s="6" t="str">
        <x:v>无</x:v>
      </x:c>
      <x:c r="S148" s="6" t="str">
        <x:v>无</x:v>
      </x:c>
      <x:c r="T148" s="6" t="str">
        <x:v>新增交互场景；独立起始模型来源另见M-INT-047，不把同基础模型计为旧交互题沿用。该题已有独立物理改动，不与其他任务共享模型。</x:v>
      </x:c>
      <x:c r="U14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8" s="6" t="str">
        <x:v>基础工具；逐轮状态与目标/非目标差异评测待实现</x:v>
      </x:c>
      <x:c r="W148" s="6" t="str">
        <x:v>规划，待编题与验证</x:v>
      </x:c>
      <x:c r="X148" s="6" t="str">
        <x:v>OpenSees</x:v>
      </x:c>
      <x:c r="Y148" s="19" t="str">
        <x:v>OpenSees</x:v>
      </x:c>
      <x:c r="Z148" s="6" t="str">
        <x:v>2D门式刚架的连接层位更新，重点是柱上分段接入夹层及载荷分组，用显式杆系模型核对状态与响应。</x:v>
      </x:c>
      <x:c r="AA14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8" s="6" t="str">
        <x:v>待逐题验证</x:v>
      </x:c>
      <x:c r="AC148" s="6" t="str">
        <x:v>未逐题验收；前置检查项：基础工具，并核对连接层位更新后的模型更新和结果定位；不把一般OpenSees支持等同于当前StructureClaw已实现。</x:v>
      </x:c>
      <x:c r="AD14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4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48" s="6" t="str">
        <x:v>OPS；COMMON</x:v>
      </x:c>
    </x:row>
    <x:row r="149" ht="67.5" customHeight="1">
      <x:c r="A149" s="14" t="str">
        <x:v>INT-048</x:v>
      </x:c>
      <x:c r="B149" s="11" t="str">
        <x:v>交互鲁棒性</x:v>
      </x:c>
      <x:c r="C149" s="18" t="str">
        <x:v>M-INT-048</x:v>
      </x:c>
      <x:c r="D149" s="11" t="str">
        <x:v>坡屋面线载依据澄清</x:v>
      </x:c>
      <x:c r="E149" s="11" t="str">
        <x:v>门式刚架</x:v>
      </x:c>
      <x:c r="F149" s="18" t="str">
        <x:v>2D</x:v>
      </x:c>
      <x:c r="G149" s="11" t="str">
        <x:v>荷载长度依据澄清</x:v>
      </x:c>
      <x:c r="H149" s="18" t="str">
        <x:v>L3</x:v>
      </x:c>
      <x:c r="I149" s="11" t="str">
        <x:v>按坡长还是投影长度会改变总力与分量</x:v>
      </x:c>
      <x:c r="J149" s="18" t="str">
        <x:v>英文</x:v>
      </x:c>
      <x:c r="K149" s="11" t="str">
        <x:v>文本2轮＋完整属性附件（仅暂缺项除外）</x:v>
      </x:c>
      <x:c r="L149" s="22" t="n">
        <x:v>2</x:v>
      </x:c>
      <x:c r="M149" s="11" t="str">
        <x:v>T1所用独立模型为M-INT-048（坡屋门架柱中横向集中力）。T1给M-INT-048只写竖向6kN/m未说长度基准；T2确认按坡梁实际长度。</x:v>
      </x:c>
      <x:c r="N149" s="11" t="str">
        <x:v>坡梁真实长度与全局荷载方向；荷载位置的独立状态保持</x:v>
      </x:c>
      <x:c r="O149" s="11" t="str">
        <x:v>最高层最右梁柱节点Ux/Uz及最左首层柱底My/Rz；所有值附位置、方向、单位、工况及当前轮次；澄清前不编造数值。</x:v>
      </x:c>
      <x:c r="P149" s="11" t="str">
        <x:v>两坡仍按全局Z负向；不得二次投影或改局部法向；屋脊8m保持；右柱中点水平力与屋面线载方向分开，横力不投影到坡梁；若已有信息可唯一推得缺项，接受说明依据后直接完成，否则再澄清。</x:v>
      </x:c>
      <x:c r="Q149" s="18" t="str">
        <x:v>新增</x:v>
      </x:c>
      <x:c r="R149" s="11" t="str">
        <x:v>无</x:v>
      </x:c>
      <x:c r="S149" s="11" t="str">
        <x:v>无</x:v>
      </x:c>
      <x:c r="T149" s="11" t="str">
        <x:v>新增交互场景；独立起始模型来源另见M-INT-048，不把同基础模型计为旧交互题沿用。该题已有独立物理改动，不与其他任务共享模型。</x:v>
      </x:c>
      <x:c r="U14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49" s="11" t="str">
        <x:v>斜杆荷载与局部轴需验证；逐轮状态与目标/非目标差异评测待实现</x:v>
      </x:c>
      <x:c r="W149" s="11" t="str">
        <x:v>规划，待编题与验证</x:v>
      </x:c>
      <x:c r="X149" s="11" t="str">
        <x:v>OpenSees</x:v>
      </x:c>
      <x:c r="Y149" s="18" t="str">
        <x:v>OpenSees</x:v>
      </x:c>
      <x:c r="Z149" s="11" t="str">
        <x:v>坡长荷载基准与全局方向需以实际倾斜杆计算</x:v>
      </x:c>
      <x:c r="AA14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49" s="11" t="str">
        <x:v>待逐题验证</x:v>
      </x:c>
      <x:c r="AC149" s="11" t="str">
        <x:v>未逐题验收；前置检查项：斜杆荷载与局部轴需验证，并核对荷载长度依据澄清后的模型更新和结果定位；不把一般OpenSees支持等同于当前StructureClaw已实现。</x:v>
      </x:c>
      <x:c r="AD149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4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49" s="11" t="str">
        <x:v>OPS；COMMON</x:v>
      </x:c>
    </x:row>
    <x:row r="150" ht="67.5" customHeight="1">
      <x:c r="A150" s="15" t="str">
        <x:v>INT-049</x:v>
      </x:c>
      <x:c r="B150" s="6" t="str">
        <x:v>交互鲁棒性</x:v>
      </x:c>
      <x:c r="C150" s="19" t="str">
        <x:v>M-INT-049</x:v>
      </x:c>
      <x:c r="D150" s="6" t="str">
        <x:v>非对称屋脊移位后仅改右坡载</x:v>
      </x:c>
      <x:c r="E150" s="6" t="str">
        <x:v>门式刚架</x:v>
      </x:c>
      <x:c r="F150" s="19" t="str">
        <x:v>2D</x:v>
      </x:c>
      <x:c r="G150" s="6" t="str">
        <x:v>复合几何与荷载更新</x:v>
      </x:c>
      <x:c r="H150" s="19" t="str">
        <x:v>L3</x:v>
      </x:c>
      <x:c r="I150" s="6" t="str">
        <x:v>屋脊移动与单坡荷载定向修改相互耦合</x:v>
      </x:c>
      <x:c r="J150" s="19" t="str">
        <x:v>中文</x:v>
      </x:c>
      <x:c r="K150" s="6" t="str">
        <x:v>文本3轮＋完整属性附件（仅暂缺项除外）</x:v>
      </x:c>
      <x:c r="L150" s="23" t="n">
        <x:v>3</x:v>
      </x:c>
      <x:c r="M150" s="6" t="str">
        <x:v>T1所用独立模型为M-INT-049（左右坡梁异刚度的非对称门架）。T1建立M-INT-049并给两坡具体线载；T2屋脊从x=10移到x=11m且z=8不变；T3仅右坡改为7kN/m。</x:v>
      </x:c>
      <x:c r="N150" s="6" t="str">
        <x:v>非对称坡度及两坡荷载匹配；截面分组的独立状态保持</x:v>
      </x:c>
      <x:c r="O150" s="6" t="str">
        <x:v>最高层最右梁柱节点Ux/Uz及最左首层柱底My/Rz；所有值附位置、方向、单位、工况及当前轮次；澄清前不编造数值。</x:v>
      </x:c>
      <x:c r="P150" s="6" t="str">
        <x:v>左坡强度保持初值；两坡连接同一新屋脊；柱脚、檐高与全局向下方向不变；屋脊移动时左右坡属性随构件角色保持，左坡4kN/m不变。</x:v>
      </x:c>
      <x:c r="Q150" s="19" t="str">
        <x:v>新增</x:v>
      </x:c>
      <x:c r="R150" s="6" t="str">
        <x:v>无</x:v>
      </x:c>
      <x:c r="S150" s="6" t="str">
        <x:v>无</x:v>
      </x:c>
      <x:c r="T150" s="6" t="str">
        <x:v>新增交互场景；独立起始模型来源另见M-INT-049，不把同基础模型计为旧交互题沿用。该题已有独立物理改动，不与其他任务共享模型。</x:v>
      </x:c>
      <x:c r="U150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0" s="6" t="str">
        <x:v>斜杆荷载与局部轴需验证；逐轮状态与目标/非目标差异评测待实现</x:v>
      </x:c>
      <x:c r="W150" s="6" t="str">
        <x:v>规划，待编题与验证</x:v>
      </x:c>
      <x:c r="X150" s="6" t="str">
        <x:v>OpenSees</x:v>
      </x:c>
      <x:c r="Y150" s="19" t="str">
        <x:v>OpenSees</x:v>
      </x:c>
      <x:c r="Z150" s="6" t="str">
        <x:v>左右坡长变化及异截面保持属于杆系几何与荷载更新</x:v>
      </x:c>
      <x:c r="AA150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0" s="6" t="str">
        <x:v>待逐题验证</x:v>
      </x:c>
      <x:c r="AC150" s="6" t="str">
        <x:v>未逐题验收；前置检查项：斜杆荷载与局部轴需验证，并核对复合几何与荷载更新后的模型更新和结果定位；不把一般OpenSees支持等同于当前StructureClaw已实现。</x:v>
      </x:c>
      <x:c r="AD150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0" s="6" t="str">
        <x:v>OPS；COMMON</x:v>
      </x:c>
    </x:row>
    <x:row r="151" ht="67.5" customHeight="1">
      <x:c r="A151" s="14" t="str">
        <x:v>INT-050</x:v>
      </x:c>
      <x:c r="B151" s="11" t="str">
        <x:v>交互鲁棒性</x:v>
      </x:c>
      <x:c r="C151" s="18" t="str">
        <x:v>M-INT-050</x:v>
      </x:c>
      <x:c r="D151" s="11" t="str">
        <x:v>错高门架中柱节点指代澄清</x:v>
      </x:c>
      <x:c r="E151" s="11" t="str">
        <x:v>门式刚架</x:v>
      </x:c>
      <x:c r="F151" s="18" t="str">
        <x:v>2D</x:v>
      </x:c>
      <x:c r="G151" s="11" t="str">
        <x:v>非规则节点定位澄清</x:v>
      </x:c>
      <x:c r="H151" s="18" t="str">
        <x:v>L3</x:v>
      </x:c>
      <x:c r="I151" s="11" t="str">
        <x:v>中柱有两个梁柱节点，口语指代不足以定力点</x:v>
      </x:c>
      <x:c r="J151" s="18" t="str">
        <x:v>英文</x:v>
      </x:c>
      <x:c r="K151" s="11" t="str">
        <x:v>文本3轮＋完整属性附件（仅暂缺项除外）</x:v>
      </x:c>
      <x:c r="L151" s="22" t="n">
        <x:v>3</x:v>
      </x:c>
      <x:c r="M151" s="11" t="str">
        <x:v>T1所用独立模型为M-INT-050（错高门架中柱分段变刚度）。T1建立M-INT-050；T2请求中柱节点加10kN水平力但未指层位；T3确认z=6m节点、X正向。</x:v>
      </x:c>
      <x:c r="N151" s="11" t="str">
        <x:v>错高节点不能误合并或遗漏柱段；截面分组的独立状态保持</x:v>
      </x:c>
      <x:c r="O151" s="11" t="str">
        <x:v>最高层最右梁柱节点Ux/Uz及最左首层柱底My/Rz；所有值附位置、方向、单位、工况及当前轮次；澄清前不编造数值。</x:v>
      </x:c>
      <x:c r="P151" s="11" t="str">
        <x:v>不加载z=8m节点；原错高柱段和两屋面线载保持；10kN只施加一处；中柱两段属性保留，z=6m点力不得移到8m。</x:v>
      </x:c>
      <x:c r="Q151" s="18" t="str">
        <x:v>新增</x:v>
      </x:c>
      <x:c r="R151" s="11" t="str">
        <x:v>无</x:v>
      </x:c>
      <x:c r="S151" s="11" t="str">
        <x:v>无</x:v>
      </x:c>
      <x:c r="T151" s="11" t="str">
        <x:v>新增交互场景；独立起始模型来源另见M-INT-050，不把同基础模型计为旧交互题沿用。该题已有独立物理改动，不与其他任务共享模型。</x:v>
      </x:c>
      <x:c r="U15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1" s="11" t="str">
        <x:v>基础工具；逐轮状态与目标/非目标差异评测待实现</x:v>
      </x:c>
      <x:c r="W151" s="11" t="str">
        <x:v>规划，待编题与验证</x:v>
      </x:c>
      <x:c r="X151" s="11" t="str">
        <x:v>OpenSees</x:v>
      </x:c>
      <x:c r="Y151" s="18" t="str">
        <x:v>OpenSees</x:v>
      </x:c>
      <x:c r="Z151" s="11" t="str">
        <x:v>2D门式刚架的非规则节点定位澄清，重点是错高节点不能误合并或遗漏柱段，用显式杆系模型核对状态与响应。</x:v>
      </x:c>
      <x:c r="AA15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1" s="11" t="str">
        <x:v>待逐题验证</x:v>
      </x:c>
      <x:c r="AC151" s="11" t="str">
        <x:v>未逐题验收；前置检查项：基础工具，并核对非规则节点定位澄清后的模型更新和结果定位；不把一般OpenSees支持等同于当前StructureClaw已实现。</x:v>
      </x:c>
      <x:c r="AD151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1" s="11" t="str">
        <x:v>OPS；COMMON</x:v>
      </x:c>
    </x:row>
    <x:row r="152" ht="81" customHeight="1">
      <x:c r="A152" s="15" t="str">
        <x:v>INT-051</x:v>
      </x:c>
      <x:c r="B152" s="6" t="str">
        <x:v>交互鲁棒性</x:v>
      </x:c>
      <x:c r="C152" s="19" t="str">
        <x:v>M-INT-051</x:v>
      </x:c>
      <x:c r="D152" s="6" t="str">
        <x:v>负号上拔载的确认控制</x:v>
      </x:c>
      <x:c r="E152" s="6" t="str">
        <x:v>门式刚架</x:v>
      </x:c>
      <x:c r="F152" s="19" t="str">
        <x:v>2D</x:v>
      </x:c>
      <x:c r="G152" s="6" t="str">
        <x:v>合法符号直接执行</x:v>
      </x:c>
      <x:c r="H152" s="19" t="str">
        <x:v>L3</x:v>
      </x:c>
      <x:c r="I152" s="6" t="str">
        <x:v>坡梁区分和正反向组合比单杆符号更复杂</x:v>
      </x:c>
      <x:c r="J152" s="19" t="str">
        <x:v>中文</x:v>
      </x:c>
      <x:c r="K152" s="6" t="str">
        <x:v>文本单轮＋完整属性附件（仅暂缺项除外）</x:v>
      </x:c>
      <x:c r="L152" s="23" t="n">
        <x:v>1</x:v>
      </x:c>
      <x:c r="M152" s="6" t="str">
        <x:v>T1所用独立模型为M-INT-051（脊点恒载与单坡上拔门架）。T1完整给M-INT-051，明确W只右坡全局Z正向、D全屋面Z负向，并给完整强度和组合系数。</x:v>
      </x:c>
      <x:c r="N152" s="6" t="str">
        <x:v>坡梁方向、局部风区与组合；荷载分布的独立状态保持</x:v>
      </x:c>
      <x:c r="O152" s="6" t="str">
        <x:v>最高层最右梁柱节点Ux/Uz及最左首层柱底My/Rz；所有值附位置、方向、单位、工况及当前轮次；澄清前不编造数值。</x:v>
      </x:c>
      <x:c r="P152" s="6" t="str">
        <x:v>不因上拔而拒算；不把W镜像加左坡；各组合保留符号并取对应结果；屋脊D点力及D/W归属保持，不能误删合理上拔。</x:v>
      </x:c>
      <x:c r="Q152" s="19" t="str">
        <x:v>旧题改编</x:v>
      </x:c>
      <x:c r="R152" s="6" t="str">
        <x:v>robust-portal-negative-roof-load</x:v>
      </x:c>
      <x:c r="S152" s="6" t="str">
        <x:v>无</x:v>
      </x:c>
      <x:c r="T152" s="6" t="str">
        <x:v>由旧负屋面载异常题改编为明确方向且幅值合理的上拔对照；不保留“负数必非法”预期；结构与真值均需新建。该题已有独立物理改动，不与其他任务共享模型。</x:v>
      </x:c>
      <x:c r="U152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2" s="6" t="str">
        <x:v>斜杆荷载与多组合需验证；多组合及斜杆荷载需验证；逐轮状态与目标/非目标差异评测待实现</x:v>
      </x:c>
      <x:c r="W152" s="6" t="str">
        <x:v>规划，待编题与验证</x:v>
      </x:c>
      <x:c r="X152" s="6" t="str">
        <x:v>OpenSees</x:v>
      </x:c>
      <x:c r="Y152" s="19" t="str">
        <x:v>OpenSees</x:v>
      </x:c>
      <x:c r="Z152" s="6" t="str">
        <x:v>坡面反向线载与给定组合属于杆件力学响应</x:v>
      </x:c>
      <x:c r="AA152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2" s="6" t="str">
        <x:v>待逐题验证</x:v>
      </x:c>
      <x:c r="AC152" s="6" t="str">
        <x:v>未逐题验收；前置检查项：斜杆荷载与多组合需验证；多组合及斜杆荷载需验证，并核对合法符号直接执行后的模型更新和结果定位；不把一般OpenSees支持等同于当前StructureClaw已实现。</x:v>
      </x:c>
      <x:c r="AD152" s="6" t="str">
        <x:v>一阶线弹性静力；自重关闭；不自动施加刚性楼板/刚域、默认附加载或自动规范组合；严格保留题定约束、材料/截面完整属性、局部轴、荷载坐标与长度基准；单位逐字段明确。 保留独立原始工况及题定组合系数，修改组合不得覆盖原工况；各轮只执行明确修改，未被修改的字段保持；澄清内容按该轮生效。</x:v>
      </x:c>
      <x:c r="AE15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2" s="6" t="str">
        <x:v>OPS；COMMON</x:v>
      </x:c>
    </x:row>
    <x:row r="153" ht="67.5" customHeight="1">
      <x:c r="A153" s="14" t="str">
        <x:v>INT-052</x:v>
      </x:c>
      <x:c r="B153" s="11" t="str">
        <x:v>交互鲁棒性</x:v>
      </x:c>
      <x:c r="C153" s="18" t="str">
        <x:v>M-INT-052</x:v>
      </x:c>
      <x:c r="D153" s="11" t="str">
        <x:v>分段近似梁的中段截面修订</x:v>
      </x:c>
      <x:c r="E153" s="11" t="str">
        <x:v>门式刚架</x:v>
      </x:c>
      <x:c r="F153" s="18" t="str">
        <x:v>2D</x:v>
      </x:c>
      <x:c r="G153" s="11" t="str">
        <x:v>成员组定向更新</x:v>
      </x:c>
      <x:c r="H153" s="18" t="str">
        <x:v>L2</x:v>
      </x:c>
      <x:c r="I153" s="11" t="str">
        <x:v>三个明确常截面分段中仅替换一组属性，输入完整且无跨步骤耦合</x:v>
      </x:c>
      <x:c r="J153" s="18" t="str">
        <x:v>英文</x:v>
      </x:c>
      <x:c r="K153" s="11" t="str">
        <x:v>文本2轮＋完整属性附件（仅暂缺项除外）</x:v>
      </x:c>
      <x:c r="L153" s="22" t="n">
        <x:v>2</x:v>
      </x:c>
      <x:c r="M153" s="11" t="str">
        <x:v>T1所用独立模型为M-INT-052（单侧铰脚的三段截面门架）。T1建立M-INT-052并给三段分界与完整截面；T2只把屋面中段替换为B4。</x:v>
      </x:c>
      <x:c r="N153" s="11" t="str">
        <x:v>分段属性与几何连续性；边界的独立状态保持</x:v>
      </x:c>
      <x:c r="O153" s="11" t="str">
        <x:v>最高层最右梁柱节点Ux/Uz及最左首层柱底My/Rz；所有值附位置、方向、单位、工况及当前轮次；澄清前不编造数值。</x:v>
      </x:c>
      <x:c r="P153" s="11" t="str">
        <x:v>分界节点和两端段截面不变；不将B4扩展整梁；维持三段常截面单元；左铰右固、0/6/16/22m分段及7kN/m保持。</x:v>
      </x:c>
      <x:c r="Q153" s="18" t="str">
        <x:v>新增</x:v>
      </x:c>
      <x:c r="R153" s="11" t="str">
        <x:v>无</x:v>
      </x:c>
      <x:c r="S153" s="11" t="str">
        <x:v>无</x:v>
      </x:c>
      <x:c r="T153" s="11" t="str">
        <x:v>新增交互场景；独立起始模型来源另见M-INT-052，不把同基础模型计为旧交互题沿用。该题已有独立物理改动，不与其他任务共享模型。</x:v>
      </x:c>
      <x:c r="U153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3" s="11" t="str">
        <x:v>基础工具；逐轮状态与目标/非目标差异评测待实现</x:v>
      </x:c>
      <x:c r="W153" s="11" t="str">
        <x:v>规划，待编题与验证</x:v>
      </x:c>
      <x:c r="X153" s="11" t="str">
        <x:v>OpenSees</x:v>
      </x:c>
      <x:c r="Y153" s="18" t="str">
        <x:v>OpenSees</x:v>
      </x:c>
      <x:c r="Z153" s="11" t="str">
        <x:v>2D门式刚架的成员组定向更新，重点是分段属性与几何连续性，用显式杆系模型核对状态与响应。</x:v>
      </x:c>
      <x:c r="AA153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3" s="11" t="str">
        <x:v>待逐题验证</x:v>
      </x:c>
      <x:c r="AC153" s="11" t="str">
        <x:v>未逐题验收；前置检查项：基础工具，并核对成员组定向更新后的模型更新和结果定位；不把一般OpenSees支持等同于当前StructureClaw已实现。</x:v>
      </x:c>
      <x:c r="AD153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3" s="11" t="str">
        <x:v>OPS；COMMON</x:v>
      </x:c>
    </x:row>
    <x:row r="154" ht="67.5" customHeight="1">
      <x:c r="A154" s="15" t="str">
        <x:v>INT-053</x:v>
      </x:c>
      <x:c r="B154" s="6" t="str">
        <x:v>交互鲁棒性</x:v>
      </x:c>
      <x:c r="C154" s="19" t="str">
        <x:v>M-INT-053</x:v>
      </x:c>
      <x:c r="D154" s="6" t="str">
        <x:v>左右柱脚说反后的确认</x:v>
      </x:c>
      <x:c r="E154" s="6" t="str">
        <x:v>门式刚架</x:v>
      </x:c>
      <x:c r="F154" s="19" t="str">
        <x:v>2D</x:v>
      </x:c>
      <x:c r="G154" s="6" t="str">
        <x:v>非对称边界冲突澄清</x:v>
      </x:c>
      <x:c r="H154" s="19" t="str">
        <x:v>L2</x:v>
      </x:c>
      <x:c r="I154" s="6" t="str">
        <x:v>不同端的边界必须定位到真实节点</x:v>
      </x:c>
      <x:c r="J154" s="19" t="str">
        <x:v>中文</x:v>
      </x:c>
      <x:c r="K154" s="6" t="str">
        <x:v>文本2轮＋完整属性附件（仅暂缺项除外）</x:v>
      </x:c>
      <x:c r="L154" s="23" t="n">
        <x:v>2</x:v>
      </x:c>
      <x:c r="M154" s="6" t="str">
        <x:v>T1所用独立模型为M-INT-053（混合柱脚门架附加中点力）。T1给M-INT-053的边界表左铰右固，但文字写左固右铰；T2确认以边界表为准。</x:v>
      </x:c>
      <x:c r="N154" s="6" t="str">
        <x:v>两侧边界不同不能复制约束；荷载位置的独立状态保持</x:v>
      </x:c>
      <x:c r="O154" s="6" t="str">
        <x:v>最高层最右梁柱节点Ux/Uz及最左首层柱底My/Rz；所有值附位置、方向、单位、工况及当前轮次；澄清前不编造数值。</x:v>
      </x:c>
      <x:c r="P154" s="6" t="str">
        <x:v>只解决冲突；左柱脚转角释放、右固定；水平力仍在右柱顶；屋面中点20kN和右柱顶12kN保持；只澄清左右支座。</x:v>
      </x:c>
      <x:c r="Q154" s="19" t="str">
        <x:v>新增</x:v>
      </x:c>
      <x:c r="R154" s="6" t="str">
        <x:v>无</x:v>
      </x:c>
      <x:c r="S154" s="6" t="str">
        <x:v>无</x:v>
      </x:c>
      <x:c r="T154" s="6" t="str">
        <x:v>新增交互场景；独立起始模型来源另见M-INT-053，不把同基础模型计为旧交互题沿用。该题已有独立物理改动，不与其他任务共享模型。</x:v>
      </x:c>
      <x:c r="U15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4" s="6" t="str">
        <x:v>基础工具；逐轮状态与目标/非目标差异评测待实现</x:v>
      </x:c>
      <x:c r="W154" s="6" t="str">
        <x:v>规划，待编题与验证</x:v>
      </x:c>
      <x:c r="X154" s="6" t="str">
        <x:v>OpenSees</x:v>
      </x:c>
      <x:c r="Y154" s="19" t="str">
        <x:v>OpenSees</x:v>
      </x:c>
      <x:c r="Z154" s="6" t="str">
        <x:v>2D门式刚架的非对称边界冲突澄清，重点是两侧边界不同不能复制约束，用显式杆系模型核对状态与响应。</x:v>
      </x:c>
      <x:c r="AA15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4" s="6" t="str">
        <x:v>待逐题验证</x:v>
      </x:c>
      <x:c r="AC154" s="6" t="str">
        <x:v>未逐题验收；前置检查项：基础工具，并核对非对称边界冲突澄清后的模型更新和结果定位；不把一般OpenSees支持等同于当前StructureClaw已实现。</x:v>
      </x:c>
      <x:c r="AD154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4" s="6" t="str">
        <x:v>OPS；COMMON</x:v>
      </x:c>
    </x:row>
    <x:row r="155" ht="67.5" customHeight="1">
      <x:c r="A155" s="14" t="str">
        <x:v>INT-054</x:v>
      </x:c>
      <x:c r="B155" s="11" t="str">
        <x:v>交互鲁棒性</x:v>
      </x:c>
      <x:c r="C155" s="18" t="str">
        <x:v>M-INT-054</x:v>
      </x:c>
      <x:c r="D155" s="11" t="str">
        <x:v>双跨门架荷载替换后换截面</x:v>
      </x:c>
      <x:c r="E155" s="11" t="str">
        <x:v>门式刚架</x:v>
      </x:c>
      <x:c r="F155" s="18" t="str">
        <x:v>2D</x:v>
      </x:c>
      <x:c r="G155" s="11" t="str">
        <x:v>分组连续修改</x:v>
      </x:c>
      <x:c r="H155" s="18" t="str">
        <x:v>L3</x:v>
      </x:c>
      <x:c r="I155" s="11" t="str">
        <x:v>构件角色和工况两套分组需要独立追踪</x:v>
      </x:c>
      <x:c r="J155" s="18" t="str">
        <x:v>英文</x:v>
      </x:c>
      <x:c r="K155" s="11" t="str">
        <x:v>文本3轮＋完整属性附件（仅暂缺项除外）</x:v>
      </x:c>
      <x:c r="L155" s="22" t="n">
        <x:v>3</x:v>
      </x:c>
      <x:c r="M155" s="11" t="str">
        <x:v>T1所用独立模型为M-INT-054（跨内节点恒载的分组门架）。T1建立M-INT-054；T2只替换W工况完整荷载列表；T3仅中柱用附件C4截面。</x:v>
      </x:c>
      <x:c r="N155" s="11" t="str">
        <x:v>构件角色分组及荷载方向；荷载分布的独立状态保持</x:v>
      </x:c>
      <x:c r="O155" s="11" t="str">
        <x:v>最高层最右梁柱节点Ux/Uz及最左首层柱底My/Rz；所有值附位置、方向、单位、工况及当前轮次；澄清前不编造数值。</x:v>
      </x:c>
      <x:c r="P155" s="11" t="str">
        <x:v>D、外柱和梁截面保留；旧W整组被替换而非追加；新W按节点与方向执行；x=6m的D点力保持，替换W列表不覆盖D。</x:v>
      </x:c>
      <x:c r="Q155" s="18" t="str">
        <x:v>新增</x:v>
      </x:c>
      <x:c r="R155" s="11" t="str">
        <x:v>无</x:v>
      </x:c>
      <x:c r="S155" s="11" t="str">
        <x:v>无</x:v>
      </x:c>
      <x:c r="T155" s="11" t="str">
        <x:v>新增交互场景；独立起始模型来源另见M-INT-054，不把同基础模型计为旧交互题沿用。该题已有独立物理改动，不与其他任务共享模型。</x:v>
      </x:c>
      <x:c r="U15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5" s="11" t="str">
        <x:v>多组合执行契约需验证；多工况执行契约需验证；逐轮状态与目标/非目标差异评测待实现</x:v>
      </x:c>
      <x:c r="W155" s="11" t="str">
        <x:v>规划，待编题与验证</x:v>
      </x:c>
      <x:c r="X155" s="11" t="str">
        <x:v>OpenSees</x:v>
      </x:c>
      <x:c r="Y155" s="18" t="str">
        <x:v>OpenSees</x:v>
      </x:c>
      <x:c r="Z155" s="11" t="str">
        <x:v>2D门式刚架的分组连续修改，重点是构件角色分组及荷载方向，用显式杆系模型核对状态与响应。</x:v>
      </x:c>
      <x:c r="AA15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5" s="11" t="str">
        <x:v>待逐题验证</x:v>
      </x:c>
      <x:c r="AC155" s="11" t="str">
        <x:v>未逐题验收；前置检查项：多组合执行契约需验证；多工况执行契约需验证，并核对分组连续修改后的模型更新和结果定位；不把一般OpenSees支持等同于当前StructureClaw已实现。</x:v>
      </x:c>
      <x:c r="AD155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5" s="11" t="str">
        <x:v>OPS；COMMON</x:v>
      </x:c>
    </x:row>
    <x:row r="156" ht="67.5" customHeight="1">
      <x:c r="A156" s="15" t="str">
        <x:v>INT-055</x:v>
      </x:c>
      <x:c r="B156" s="6" t="str">
        <x:v>交互鲁棒性</x:v>
      </x:c>
      <x:c r="C156" s="19" t="str">
        <x:v>M-INT-055</x:v>
      </x:c>
      <x:c r="D156" s="6" t="str">
        <x:v>两层框架新增风保留折算重力</x:v>
      </x:c>
      <x:c r="E156" s="6" t="str">
        <x:v>平面钢框架</x:v>
      </x:c>
      <x:c r="F156" s="19" t="str">
        <x:v>2D</x:v>
      </x:c>
      <x:c r="G156" s="6" t="str">
        <x:v>荷载工况追加</x:v>
      </x:c>
      <x:c r="H156" s="19" t="str">
        <x:v>L2</x:v>
      </x:c>
      <x:c r="I156" s="6" t="str">
        <x:v>已有面载已折算，追加风时不能重复重力</x:v>
      </x:c>
      <x:c r="J156" s="19" t="str">
        <x:v>中文</x:v>
      </x:c>
      <x:c r="K156" s="6" t="str">
        <x:v>文本2轮＋完整属性附件（仅暂缺项除外）</x:v>
      </x:c>
      <x:c r="L156" s="23" t="n">
        <x:v>2</x:v>
      </x:c>
      <x:c r="M156" s="6" t="str">
        <x:v>T1所用独立模型为M-INT-055（两层梁截面不同的面载框架）。T1建立M-INT-055并施加已折算60kN/m；T2一层及屋面右节点加X正向10、15kN，组合D+W。</x:v>
      </x:c>
      <x:c r="N156" s="6" t="str">
        <x:v>面载不能与折算线载重复；截面分组的独立状态保持</x:v>
      </x:c>
      <x:c r="O156" s="6" t="str">
        <x:v>最高层最右梁柱节点Ux/Uz及最左首层柱底My/Rz；所有值附位置、方向、单位、工况及当前轮次；澄清前不编造数值。</x:v>
      </x:c>
      <x:c r="P156" s="6" t="str">
        <x:v>D仍60kN/m一次；W两节点正确；几何材料不变；不套旧10kN/m基准数值；两层梁截面保持不同，D仍折算60kN/m一次。</x:v>
      </x:c>
      <x:c r="Q156" s="19" t="str">
        <x:v>旧题改编</x:v>
      </x:c>
      <x:c r="R156" s="6" t="str">
        <x:v>robust-update-frame-add-wind-zh</x:v>
      </x:c>
      <x:c r="S156" s="6" t="str">
        <x:v>无</x:v>
      </x:c>
      <x:c r="T156" s="6" t="str">
        <x:v>旧题交互机制迁入M-INT-055；补齐属性、完成计算与更新不变量；本行轮次为新契约，旧数字不直接沿用。该题已有独立物理改动，不与其他任务共享模型。</x:v>
      </x:c>
      <x:c r="U15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6" s="6" t="str">
        <x:v>基础工具；逐轮状态与目标/非目标差异评测待实现；多工况及新增/保留组合的执行契约需验证</x:v>
      </x:c>
      <x:c r="W156" s="6" t="str">
        <x:v>规划，待编题与验证</x:v>
      </x:c>
      <x:c r="X156" s="6" t="str">
        <x:v>OpenSees</x:v>
      </x:c>
      <x:c r="Y156" s="19" t="str">
        <x:v>OpenSees</x:v>
      </x:c>
      <x:c r="Z156" s="6" t="str">
        <x:v>2D平面钢框架的荷载工况追加，重点是面载不能与折算线载重复，用显式杆系模型核对状态与响应。</x:v>
      </x:c>
      <x:c r="AA15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6" s="6" t="str">
        <x:v>待逐题验证</x:v>
      </x:c>
      <x:c r="AC156" s="6" t="str">
        <x:v>未逐题验收；前置检查项：基础工具；多工况及新增/保留组合的执行契约需验证，并核对荷载工况追加后的模型更新和结果定位；不把一般OpenSees支持等同于当前StructureClaw已实现。</x:v>
      </x:c>
      <x:c r="AD15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6" s="6" t="str">
        <x:v>OPS；COMMON</x:v>
      </x:c>
    </x:row>
    <x:row r="157" ht="67.5" customHeight="1">
      <x:c r="A157" s="14" t="str">
        <x:v>INT-056</x:v>
      </x:c>
      <x:c r="B157" s="11" t="str">
        <x:v>交互鲁棒性</x:v>
      </x:c>
      <x:c r="C157" s="18" t="str">
        <x:v>M-INT-056</x:v>
      </x:c>
      <x:c r="D157" s="11" t="str">
        <x:v>工业框架荷载对象指认</x:v>
      </x:c>
      <x:c r="E157" s="11" t="str">
        <x:v>平面钢框架</x:v>
      </x:c>
      <x:c r="F157" s="18" t="str">
        <x:v>2D</x:v>
      </x:c>
      <x:c r="G157" s="11" t="str">
        <x:v>荷载对象澄清</x:v>
      </x:c>
      <x:c r="H157" s="18" t="str">
        <x:v>L2</x:v>
      </x:c>
      <x:c r="I157" s="11" t="str">
        <x:v>屋面分布载与吊车节点力不同，更新目标必须明确</x:v>
      </x:c>
      <x:c r="J157" s="18" t="str">
        <x:v>英文</x:v>
      </x:c>
      <x:c r="K157" s="11" t="str">
        <x:v>文本3轮＋完整属性附件（仅暂缺项除外）</x:v>
      </x:c>
      <x:c r="L157" s="22" t="n">
        <x:v>3</x:v>
      </x:c>
      <x:c r="M157" s="11" t="str">
        <x:v>T1所用独立模型为M-INT-056（工业框架左柱中部设备侧力）。T1建立M-INT-056；T2要求吊车荷载增加20%但未说明两分量还是仅竖向；T3确认仅右柱顶竖向98改117.6kN，左柱中部14kN不变。</x:v>
      </x:c>
      <x:c r="N157" s="11" t="str">
        <x:v>吊车等效荷载方向与屋面分项；荷载位置的独立状态保持</x:v>
      </x:c>
      <x:c r="O157" s="11" t="str">
        <x:v>最高层最右梁柱节点Ux/Uz及最左首层柱底My/Rz；所有值附位置、方向、单位、工况及当前轮次；澄清前不编造数值。</x:v>
      </x:c>
      <x:c r="P157" s="11" t="str">
        <x:v>水平10kN、屋面36kN/m不变；右柱顶位置保持；不得整体放大所有荷载；左柱中部14kN不随右柱顶吊车竖力比例修改；若已有信息可唯一推得缺项，接受说明依据后直接完成，否则再澄清。</x:v>
      </x:c>
      <x:c r="Q157" s="18" t="str">
        <x:v>新增</x:v>
      </x:c>
      <x:c r="R157" s="11" t="str">
        <x:v>无</x:v>
      </x:c>
      <x:c r="S157" s="11" t="str">
        <x:v>无</x:v>
      </x:c>
      <x:c r="T157" s="11" t="str">
        <x:v>新增交互场景；独立起始模型来源另见M-INT-056，不把同基础模型计为旧交互题沿用。该题已有独立物理改动，不与其他任务共享模型。</x:v>
      </x:c>
      <x:c r="U15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7" s="11" t="str">
        <x:v>基础工具；逐轮状态与目标/非目标差异评测待实现</x:v>
      </x:c>
      <x:c r="W157" s="11" t="str">
        <x:v>规划，待编题与验证</x:v>
      </x:c>
      <x:c r="X157" s="11" t="str">
        <x:v>OpenSees</x:v>
      </x:c>
      <x:c r="Y157" s="18" t="str">
        <x:v>OpenSees</x:v>
      </x:c>
      <x:c r="Z157" s="11" t="str">
        <x:v>2D平面钢框架的荷载对象澄清，重点是吊车等效荷载方向与屋面分项，用显式杆系模型核对状态与响应。</x:v>
      </x:c>
      <x:c r="AA15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7" s="11" t="str">
        <x:v>待逐题验证</x:v>
      </x:c>
      <x:c r="AC157" s="11" t="str">
        <x:v>未逐题验收；前置检查项：基础工具，并核对荷载对象澄清后的模型更新和结果定位；不把一般OpenSees支持等同于当前StructureClaw已实现。</x:v>
      </x:c>
      <x:c r="AD157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7" s="11" t="str">
        <x:v>OPS；COMMON</x:v>
      </x:c>
    </x:row>
    <x:row r="158" ht="67.5" customHeight="1">
      <x:c r="A158" s="15" t="str">
        <x:v>INT-057</x:v>
      </x:c>
      <x:c r="B158" s="6" t="str">
        <x:v>交互鲁棒性</x:v>
      </x:c>
      <x:c r="C158" s="19" t="str">
        <x:v>M-INT-057</x:v>
      </x:c>
      <x:c r="D158" s="6" t="str">
        <x:v>分层侧力逆序输入修正</x:v>
      </x:c>
      <x:c r="E158" s="6" t="str">
        <x:v>平面钢框架</x:v>
      </x:c>
      <x:c r="F158" s="19" t="str">
        <x:v>2D</x:v>
      </x:c>
      <x:c r="G158" s="6" t="str">
        <x:v>列表顺序澄清</x:v>
      </x:c>
      <x:c r="H158" s="19" t="str">
        <x:v>L2</x:v>
      </x:c>
      <x:c r="I158" s="6" t="str">
        <x:v>楼层顺序颠倒在总力相同情况下仍有错误响应</x:v>
      </x:c>
      <x:c r="J158" s="19" t="str">
        <x:v>中文</x:v>
      </x:c>
      <x:c r="K158" s="6" t="str">
        <x:v>文本2轮＋完整属性附件（仅暂缺项除外）</x:v>
      </x:c>
      <x:c r="L158" s="23" t="n">
        <x:v>2</x:v>
      </x:c>
      <x:c r="M158" s="6" t="str">
        <x:v>T1所用独立模型为M-INT-057（仅第二跨梁重力加载的三层框架）。T1给M-INT-057，侧力文本从低到高10、15、20而表为20、15、10；T2确认文本顺序。</x:v>
      </x:c>
      <x:c r="N158" s="6" t="str">
        <x:v>楼层作用点和力值顺序；荷载分布的独立状态保持</x:v>
      </x:c>
      <x:c r="O158" s="6" t="str">
        <x:v>最高层最右梁柱节点Ux/Uz及最左首层柱底My/Rz；所有值附位置、方向、单位、工况及当前轮次；澄清前不编造数值。</x:v>
      </x:c>
      <x:c r="P158" s="6" t="str">
        <x:v>荷载对应一二三层右节点；每层仅第二跨10kN/m保持；不只检查总水平力；只第二跨三根梁有竖载，楼层侧力仍按指定顺序。</x:v>
      </x:c>
      <x:c r="Q158" s="19" t="str">
        <x:v>新增</x:v>
      </x:c>
      <x:c r="R158" s="6" t="str">
        <x:v>无</x:v>
      </x:c>
      <x:c r="S158" s="6" t="str">
        <x:v>无</x:v>
      </x:c>
      <x:c r="T158" s="6" t="str">
        <x:v>新增交互场景；独立起始模型来源另见M-INT-057，不把同基础模型计为旧交互题沿用。该题已有独立物理改动，不与其他任务共享模型。</x:v>
      </x:c>
      <x:c r="U15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8" s="6" t="str">
        <x:v>基础工具；逐轮状态与目标/非目标差异评测待实现</x:v>
      </x:c>
      <x:c r="W158" s="6" t="str">
        <x:v>规划，待编题与验证</x:v>
      </x:c>
      <x:c r="X158" s="6" t="str">
        <x:v>OpenSees</x:v>
      </x:c>
      <x:c r="Y158" s="19" t="str">
        <x:v>OpenSees</x:v>
      </x:c>
      <x:c r="Z158" s="6" t="str">
        <x:v>2D平面钢框架的列表顺序澄清，重点是楼层作用点和力值顺序，用显式杆系模型核对状态与响应。</x:v>
      </x:c>
      <x:c r="AA15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8" s="6" t="str">
        <x:v>待逐题验证</x:v>
      </x:c>
      <x:c r="AC158" s="6" t="str">
        <x:v>未逐题验收；前置检查项：基础工具，并核对列表顺序澄清后的模型更新和结果定位；不把一般OpenSees支持等同于当前StructureClaw已实现。</x:v>
      </x:c>
      <x:c r="AD15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8" s="6" t="str">
        <x:v>OPS；COMMON</x:v>
      </x:c>
    </x:row>
    <x:row r="159" ht="67.5" customHeight="1">
      <x:c r="A159" s="14" t="str">
        <x:v>INT-058</x:v>
      </x:c>
      <x:c r="B159" s="11" t="str">
        <x:v>交互鲁棒性</x:v>
      </x:c>
      <x:c r="C159" s="18" t="str">
        <x:v>M-INT-058</x:v>
      </x:c>
      <x:c r="D159" s="11" t="str">
        <x:v>侧向框架将50kN改80kN</x:v>
      </x:c>
      <x:c r="E159" s="11" t="str">
        <x:v>平面钢框架</x:v>
      </x:c>
      <x:c r="F159" s="18" t="str">
        <x:v>2D</x:v>
      </x:c>
      <x:c r="G159" s="11" t="str">
        <x:v>定值替换</x:v>
      </x:c>
      <x:c r="H159" s="18" t="str">
        <x:v>L1</x:v>
      </x:c>
      <x:c r="I159" s="11" t="str">
        <x:v>最小框架上的单个明确参数替换作为基准</x:v>
      </x:c>
      <x:c r="J159" s="18" t="str">
        <x:v>英文</x:v>
      </x:c>
      <x:c r="K159" s="11" t="str">
        <x:v>文本2轮＋完整属性附件（仅暂缺项除外）</x:v>
      </x:c>
      <x:c r="L159" s="22" t="n">
        <x:v>2</x:v>
      </x:c>
      <x:c r="M159" s="11" t="str">
        <x:v>T1所用独立模型为M-INT-058（重力与可变水平力单层框架）。T1建立M-INT-058；T2右上节点X向力由50改80kN。</x:v>
      </x:c>
      <x:c r="N159" s="11" t="str">
        <x:v>完整物理框架不因generic而升级难度；荷载分量的独立状态保持</x:v>
      </x:c>
      <x:c r="O159" s="11" t="str">
        <x:v>最高层最右梁柱节点Ux/Uz及最左首层柱底My/Rz；所有值附位置、方向、单位、工况及当前轮次；澄清前不编造数值。</x:v>
      </x:c>
      <x:c r="P159" s="11" t="str">
        <x:v>最终80kN而非130；跨6m高4m、两柱脚和所有属性不变；屋面6kN/m不随50→80kN水平力替换改变。</x:v>
      </x:c>
      <x:c r="Q159" s="18" t="str">
        <x:v>旧题改编</x:v>
      </x:c>
      <x:c r="R159" s="11" t="str">
        <x:v>robust-update-generic-increase-load</x:v>
      </x:c>
      <x:c r="S159" s="11" t="str">
        <x:v>无</x:v>
      </x:c>
      <x:c r="T159" s="11" t="str">
        <x:v>旧题交互机制迁入M-INT-058；补齐属性、完成计算与更新不变量；本行轮次为新契约，旧数字不直接沿用。该题已有独立物理改动，不与其他任务共享模型。</x:v>
      </x:c>
      <x:c r="U15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59" s="11" t="str">
        <x:v>基础工具；逐轮状态与目标/非目标差异评测待实现</x:v>
      </x:c>
      <x:c r="W159" s="11" t="str">
        <x:v>规划，待编题与验证</x:v>
      </x:c>
      <x:c r="X159" s="11" t="str">
        <x:v>OpenSees</x:v>
      </x:c>
      <x:c r="Y159" s="18" t="str">
        <x:v>OpenSees</x:v>
      </x:c>
      <x:c r="Z159" s="11" t="str">
        <x:v>2D平面钢框架的定值替换，重点是完整物理框架不因generic而升级难度，用显式杆系模型核对状态与响应。</x:v>
      </x:c>
      <x:c r="AA15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59" s="11" t="str">
        <x:v>待逐题验证</x:v>
      </x:c>
      <x:c r="AC159" s="11" t="str">
        <x:v>未逐题验收；前置检查项：基础工具，并核对定值替换后的模型更新和结果定位；不把一般OpenSees支持等同于当前StructureClaw已实现。</x:v>
      </x:c>
      <x:c r="AD159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5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59" s="11" t="str">
        <x:v>OPS；COMMON</x:v>
      </x:c>
    </x:row>
    <x:row r="160" ht="67.5" customHeight="1">
      <x:c r="A160" s="15" t="str">
        <x:v>INT-059</x:v>
      </x:c>
      <x:c r="B160" s="6" t="str">
        <x:v>交互鲁棒性</x:v>
      </x:c>
      <x:c r="C160" s="19" t="str">
        <x:v>M-INT-059</x:v>
      </x:c>
      <x:c r="D160" s="6" t="str">
        <x:v>楼面荷载已折算时不重复</x:v>
      </x:c>
      <x:c r="E160" s="6" t="str">
        <x:v>平面钢框架</x:v>
      </x:c>
      <x:c r="F160" s="19" t="str">
        <x:v>2D</x:v>
      </x:c>
      <x:c r="G160" s="6" t="str">
        <x:v>量纲澄清后计算</x:v>
      </x:c>
      <x:c r="H160" s="19" t="str">
        <x:v>L2</x:v>
      </x:c>
      <x:c r="I160" s="6" t="str">
        <x:v>面载和等效线载并列容易被重复施加</x:v>
      </x:c>
      <x:c r="J160" s="19" t="str">
        <x:v>中文</x:v>
      </x:c>
      <x:c r="K160" s="6" t="str">
        <x:v>文本2轮＋完整属性附件（仅暂缺项除外）</x:v>
      </x:c>
      <x:c r="L160" s="23" t="n">
        <x:v>2</x:v>
      </x:c>
      <x:c r="M160" s="6" t="str">
        <x:v>T1所用独立模型为M-INT-059（左右柱不同刚度的面载框架）。T1给M-INT-059并列8kN/m²及48kN/m，但未说明两项关系；T2确认48是8乘6m的同一荷载。</x:v>
      </x:c>
      <x:c r="N160" s="6" t="str">
        <x:v>普通刚接框架与门架标签分开；截面分组的独立状态保持</x:v>
      </x:c>
      <x:c r="O160" s="6" t="str">
        <x:v>最高层最右梁柱节点Ux/Uz及最左首层柱底My/Rz；所有值附位置、方向、单位、工况及当前轮次；澄清前不编造数值。</x:v>
      </x:c>
      <x:c r="P160" s="6" t="str">
        <x:v>最终仅48kN/m一次；不施加96或再次乘6；固定柱脚不变；柱刚度不对称保持，屋面48kN/m只施加一次；若已有信息可唯一推得缺项，接受说明依据后直接完成，否则再澄清。</x:v>
      </x:c>
      <x:c r="Q160" s="19" t="str">
        <x:v>旧题改编</x:v>
      </x:c>
      <x:c r="R160" s="6" t="str">
        <x:v>robust-frame-unit-area-line-load</x:v>
      </x:c>
      <x:c r="S160" s="6" t="str">
        <x:v>无</x:v>
      </x:c>
      <x:c r="T160" s="6" t="str">
        <x:v>旧题交互机制迁入M-INT-059；补齐属性、完成计算与更新不变量；本行轮次为新契约，旧数字不直接沿用。该题已有独立物理改动，不与其他任务共享模型。</x:v>
      </x:c>
      <x:c r="U160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0" s="6" t="str">
        <x:v>基础工具；逐轮状态与目标/非目标差异评测待实现</x:v>
      </x:c>
      <x:c r="W160" s="6" t="str">
        <x:v>规划，待编题与验证</x:v>
      </x:c>
      <x:c r="X160" s="6" t="str">
        <x:v>OpenSees</x:v>
      </x:c>
      <x:c r="Y160" s="19" t="str">
        <x:v>OpenSees</x:v>
      </x:c>
      <x:c r="Z160" s="6" t="str">
        <x:v>2D平面钢框架的量纲澄清后计算，重点是普通刚接框架与门架标签分开，用显式杆系模型核对状态与响应。</x:v>
      </x:c>
      <x:c r="AA160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0" s="6" t="str">
        <x:v>待逐题验证</x:v>
      </x:c>
      <x:c r="AC160" s="6" t="str">
        <x:v>未逐题验收；前置检查项：基础工具，并核对量纲澄清后计算后的模型更新和结果定位；不把一般OpenSees支持等同于当前StructureClaw已实现。</x:v>
      </x:c>
      <x:c r="AD160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0" s="6" t="str">
        <x:v>OPS；COMMON</x:v>
      </x:c>
    </x:row>
    <x:row r="161" ht="81" customHeight="1">
      <x:c r="A161" s="14" t="str">
        <x:v>INT-060</x:v>
      </x:c>
      <x:c r="B161" s="11" t="str">
        <x:v>交互鲁棒性</x:v>
      </x:c>
      <x:c r="C161" s="18" t="str">
        <x:v>M-INT-060</x:v>
      </x:c>
      <x:c r="D161" s="11" t="str">
        <x:v>不等跨框架追加两层风</x:v>
      </x:c>
      <x:c r="E161" s="11" t="str">
        <x:v>平面钢框架</x:v>
      </x:c>
      <x:c r="F161" s="18" t="str">
        <x:v>2D</x:v>
      </x:c>
      <x:c r="G161" s="11" t="str">
        <x:v>工况与组合追加</x:v>
      </x:c>
      <x:c r="H161" s="18" t="str">
        <x:v>L3</x:v>
      </x:c>
      <x:c r="I161" s="11" t="str">
        <x:v>不等跨、D/L及新增W要保留各自归属</x:v>
      </x:c>
      <x:c r="J161" s="18" t="str">
        <x:v>英文</x:v>
      </x:c>
      <x:c r="K161" s="11" t="str">
        <x:v>文本2轮＋完整属性附件（仅暂缺项除外）</x:v>
      </x:c>
      <x:c r="L161" s="22" t="n">
        <x:v>2</x:v>
      </x:c>
      <x:c r="M161" s="11" t="str">
        <x:v>T1所用独立模型为M-INT-060（中柱加强的不等跨恒活载框架）。T1建立M-INT-060；T2一层和二层最右节点加X正向10、15kN，新增组合1.2D+1.4L+W。</x:v>
      </x:c>
      <x:c r="N161" s="11" t="str">
        <x:v>不等跨及恒活载分离；截面分组的独立状态保持</x:v>
      </x:c>
      <x:c r="O161" s="11" t="str">
        <x:v>最高层最右梁柱节点Ux/Uz及最左首层柱底My/Rz；所有值附位置、方向、单位、工况及当前轮次；澄清前不编造数值。</x:v>
      </x:c>
      <x:c r="P161" s="11" t="str">
        <x:v>旧1.2D+1.4L保留；W位于x=11.4m；不得把两跨改成6+6或覆盖D/L；中柱截面分组和5.4/6m跨度保持，追加W不能重套规则网格。</x:v>
      </x:c>
      <x:c r="Q161" s="18" t="str">
        <x:v>旧题改编</x:v>
      </x:c>
      <x:c r="R161" s="11" t="str">
        <x:v>robust-update-frame-add-wind</x:v>
      </x:c>
      <x:c r="S161" s="11" t="str">
        <x:v>无</x:v>
      </x:c>
      <x:c r="T161" s="11" t="str">
        <x:v>旧题交互机制迁入M-INT-060；补齐属性、完成计算与更新不变量；本行轮次为新契约，旧数字不直接沿用。该题已有独立物理改动，不与其他任务共享模型。</x:v>
      </x:c>
      <x:c r="U16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1" s="11" t="str">
        <x:v>基础工具；逐轮状态与目标/非目标差异评测待实现；多工况及新增/保留组合的执行契约需验证</x:v>
      </x:c>
      <x:c r="W161" s="11" t="str">
        <x:v>规划，待编题与验证</x:v>
      </x:c>
      <x:c r="X161" s="11" t="str">
        <x:v>OpenSees</x:v>
      </x:c>
      <x:c r="Y161" s="18" t="str">
        <x:v>OpenSees</x:v>
      </x:c>
      <x:c r="Z161" s="11" t="str">
        <x:v>2D平面钢框架的工况与组合追加，重点是不等跨及恒活载分离，用显式杆系模型核对状态与响应。</x:v>
      </x:c>
      <x:c r="AA16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1" s="11" t="str">
        <x:v>待逐题验证</x:v>
      </x:c>
      <x:c r="AC161" s="11" t="str">
        <x:v>未逐题验收；前置检查项：基础工具；多工况及新增/保留组合的执行契约需验证，并核对工况与组合追加后的模型更新和结果定位；不把一般OpenSees支持等同于当前StructureClaw已实现。</x:v>
      </x:c>
      <x:c r="AD161" s="11" t="str">
        <x:v>一阶线弹性静力；自重关闭；不自动施加刚性楼板/刚域、默认附加载或自动规范组合；严格保留题定约束、材料/截面完整属性、局部轴、荷载坐标与长度基准；单位逐字段明确。 保留独立原始工况及题定组合系数，修改组合不得覆盖原工况；各轮只执行明确修改，未被修改的字段保持；澄清内容按该轮生效。</x:v>
      </x:c>
      <x:c r="AE16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1" s="11" t="str">
        <x:v>OPS；COMMON</x:v>
      </x:c>
    </x:row>
    <x:row r="162" ht="67.5" customHeight="1">
      <x:c r="A162" s="15" t="str">
        <x:v>INT-061</x:v>
      </x:c>
      <x:c r="B162" s="6" t="str">
        <x:v>交互鲁棒性</x:v>
      </x:c>
      <x:c r="C162" s="19" t="str">
        <x:v>M-INT-061</x:v>
      </x:c>
      <x:c r="D162" s="6" t="str">
        <x:v>层高与总高度冲突后明确</x:v>
      </x:c>
      <x:c r="E162" s="6" t="str">
        <x:v>平面钢框架</x:v>
      </x:c>
      <x:c r="F162" s="19" t="str">
        <x:v>2D</x:v>
      </x:c>
      <x:c r="G162" s="6" t="str">
        <x:v>几何累加澄清</x:v>
      </x:c>
      <x:c r="H162" s="19" t="str">
        <x:v>L2</x:v>
      </x:c>
      <x:c r="I162" s="6" t="str">
        <x:v>层高与绝对标高不能混为一谈</x:v>
      </x:c>
      <x:c r="J162" s="19" t="str">
        <x:v>中文</x:v>
      </x:c>
      <x:c r="K162" s="6" t="str">
        <x:v>文本2轮＋完整属性附件（仅暂缺项除外）</x:v>
      </x:c>
      <x:c r="L162" s="23" t="n">
        <x:v>2</x:v>
      </x:c>
      <x:c r="M162" s="6" t="str">
        <x:v>T1所用独立模型为M-INT-061（非等层框架首层梁不同材料）。T1给M-INT-061层高3.6、4.2m同时屋顶总高写4.2m；T2确认屋顶标高7.8m。</x:v>
      </x:c>
      <x:c r="N162" s="6" t="str">
        <x:v>标高累加与跨度列表；材料分组的独立状态保持</x:v>
      </x:c>
      <x:c r="O162" s="6" t="str">
        <x:v>最高层最右梁柱节点Ux/Uz及最左首层柱底My/Rz；所有值附位置、方向、单位、工况及当前轮次；澄清前不编造数值。</x:v>
      </x:c>
      <x:c r="P162" s="6" t="str">
        <x:v>节点z=0、3.6、7.8m；两跨4.5、7.5m保持；按各梁原荷载；各层材料角色保持，修正标高不能全局覆盖E。</x:v>
      </x:c>
      <x:c r="Q162" s="19" t="str">
        <x:v>新增</x:v>
      </x:c>
      <x:c r="R162" s="6" t="str">
        <x:v>无</x:v>
      </x:c>
      <x:c r="S162" s="6" t="str">
        <x:v>无</x:v>
      </x:c>
      <x:c r="T162" s="6" t="str">
        <x:v>新增交互场景；独立起始模型来源另见M-INT-061，不把同基础模型计为旧交互题沿用。该题已有独立物理改动，不与其他任务共享模型。</x:v>
      </x:c>
      <x:c r="U162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2" s="6" t="str">
        <x:v>基础工具；逐轮状态与目标/非目标差异评测待实现</x:v>
      </x:c>
      <x:c r="W162" s="6" t="str">
        <x:v>规划，待编题与验证</x:v>
      </x:c>
      <x:c r="X162" s="6" t="str">
        <x:v>OpenSees</x:v>
      </x:c>
      <x:c r="Y162" s="19" t="str">
        <x:v>OpenSees</x:v>
      </x:c>
      <x:c r="Z162" s="6" t="str">
        <x:v>2D平面钢框架的几何累加澄清，重点是标高累加与跨度列表，用显式杆系模型核对状态与响应。</x:v>
      </x:c>
      <x:c r="AA162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2" s="6" t="str">
        <x:v>待逐题验证</x:v>
      </x:c>
      <x:c r="AC162" s="6" t="str">
        <x:v>未逐题验收；前置检查项：基础工具，并核对几何累加澄清后的模型更新和结果定位；不把一般OpenSees支持等同于当前StructureClaw已实现。</x:v>
      </x:c>
      <x:c r="AD162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2" s="6" t="str">
        <x:v>OPS；COMMON</x:v>
      </x:c>
    </x:row>
    <x:row r="163" ht="67.5" customHeight="1">
      <x:c r="A163" s="14" t="str">
        <x:v>INT-062</x:v>
      </x:c>
      <x:c r="B163" s="11" t="str">
        <x:v>交互鲁棒性</x:v>
      </x:c>
      <x:c r="C163" s="18" t="str">
        <x:v>M-INT-062</x:v>
      </x:c>
      <x:c r="D163" s="11" t="str">
        <x:v>退台框架上层右跨明确不存在</x:v>
      </x:c>
      <x:c r="E163" s="11" t="str">
        <x:v>平面钢框架</x:v>
      </x:c>
      <x:c r="F163" s="18" t="str">
        <x:v>2D</x:v>
      </x:c>
      <x:c r="G163" s="11" t="str">
        <x:v>不规则拓扑直接执行</x:v>
      </x:c>
      <x:c r="H163" s="18" t="str">
        <x:v>L2</x:v>
      </x:c>
      <x:c r="I163" s="11" t="str">
        <x:v>完整缺失区域是明确几何而非需要补问的参数</x:v>
      </x:c>
      <x:c r="J163" s="18" t="str">
        <x:v>英文</x:v>
      </x:c>
      <x:c r="K163" s="11" t="str">
        <x:v>文本单轮＋完整属性附件（仅暂缺项除外）</x:v>
      </x:c>
      <x:c r="L163" s="22" t="n">
        <x:v>1</x:v>
      </x:c>
      <x:c r="M163" s="11" t="str">
        <x:v>T1所用独立模型为M-INT-062（退台框架下层空旷侧新增设备点力）。T1完整给M-INT-062连接表，注明上层右跨梁柱不存在，直接建模分析。</x:v>
      </x:c>
      <x:c r="N163" s="11" t="str">
        <x:v>缺失上层右跨不能按规则网格补全；荷载位置的独立状态保持</x:v>
      </x:c>
      <x:c r="O163" s="11" t="str">
        <x:v>最高层最右梁柱节点Ux/Uz及最左首层柱底My/Rz；所有值附位置、方向、单位、工况及当前轮次；澄清前不编造数值。</x:v>
      </x:c>
      <x:c r="P163" s="11" t="str">
        <x:v>不补齐规则网格；保留下层两跨及上层左跨；不得给不存在梁加载；设备点力只加真实下层梁，不虚构上层右梁。</x:v>
      </x:c>
      <x:c r="Q163" s="18" t="str">
        <x:v>新增</x:v>
      </x:c>
      <x:c r="R163" s="11" t="str">
        <x:v>无</x:v>
      </x:c>
      <x:c r="S163" s="11" t="str">
        <x:v>无</x:v>
      </x:c>
      <x:c r="T163" s="11" t="str">
        <x:v>新增交互场景；独立起始模型来源另见M-INT-062，不把同基础模型计为旧交互题沿用。该题已有独立物理改动，不与其他任务共享模型。</x:v>
      </x:c>
      <x:c r="U163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3" s="11" t="str">
        <x:v>基础工具；逐轮状态与目标/非目标差异评测待实现</x:v>
      </x:c>
      <x:c r="W163" s="11" t="str">
        <x:v>规划，待编题与验证</x:v>
      </x:c>
      <x:c r="X163" s="11" t="str">
        <x:v>OpenSees</x:v>
      </x:c>
      <x:c r="Y163" s="18" t="str">
        <x:v>OpenSees</x:v>
      </x:c>
      <x:c r="Z163" s="11" t="str">
        <x:v>2D平面钢框架的不规则拓扑直接执行，重点是缺失上层右跨不能按规则网格补全，用显式杆系模型核对状态与响应。</x:v>
      </x:c>
      <x:c r="AA163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3" s="11" t="str">
        <x:v>待逐题验证</x:v>
      </x:c>
      <x:c r="AC163" s="11" t="str">
        <x:v>未逐题验收；前置检查项：基础工具，并核对不规则拓扑直接执行后的模型更新和结果定位；不把一般OpenSees支持等同于当前StructureClaw已实现。</x:v>
      </x:c>
      <x:c r="AD163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3" s="11" t="str">
        <x:v>OPS；COMMON</x:v>
      </x:c>
    </x:row>
    <x:row r="164" ht="67.5" customHeight="1">
      <x:c r="A164" s="15" t="str">
        <x:v>INT-063</x:v>
      </x:c>
      <x:c r="B164" s="6" t="str">
        <x:v>交互鲁棒性</x:v>
      </x:c>
      <x:c r="C164" s="19" t="str">
        <x:v>M-INT-063</x:v>
      </x:c>
      <x:c r="D164" s="6" t="str">
        <x:v>一层支撑类型确认</x:v>
      </x:c>
      <x:c r="E164" s="6" t="str">
        <x:v>平面钢框架</x:v>
      </x:c>
      <x:c r="F164" s="19" t="str">
        <x:v>2D</x:v>
      </x:c>
      <x:c r="G164" s="6" t="str">
        <x:v>混合单元澄清</x:v>
      </x:c>
      <x:c r="H164" s="19" t="str">
        <x:v>L3</x:v>
      </x:c>
      <x:c r="I164" s="6" t="str">
        <x:v>支撑与刚接杆件类型不同，交叉连接还需保持</x:v>
      </x:c>
      <x:c r="J164" s="19" t="str">
        <x:v>中文</x:v>
      </x:c>
      <x:c r="K164" s="6" t="str">
        <x:v>文本2轮＋完整属性附件（仅暂缺项除外）</x:v>
      </x:c>
      <x:c r="L164" s="23" t="n">
        <x:v>2</x:v>
      </x:c>
      <x:c r="M164" s="6" t="str">
        <x:v>T1所用独立模型为M-INT-063（上层右柱顶双向平面力的支撑框架）。T1给M-INT-063但把两根斜撑标为杆件未写单元类型；T2确认仅受轴力桁架单元、交叉处不连接。</x:v>
      </x:c>
      <x:c r="N164" s="6" t="str">
        <x:v>梁柱与桁架杆混合类型及交叉语义；荷载分量的独立状态保持</x:v>
      </x:c>
      <x:c r="O164" s="6" t="str">
        <x:v>最高层最右梁柱节点Ux/Uz及最左首层柱底My/Rz；所有值附位置、方向、单位、工况及当前轮次；澄清前不编造数值。</x:v>
      </x:c>
      <x:c r="P164" s="6" t="str">
        <x:v>梁柱仍梁单元；斜撑无弯曲刚度；交叉语义与端部连接同时符合；屋面18kN侧力与一层支撑位置保持。</x:v>
      </x:c>
      <x:c r="Q164" s="19" t="str">
        <x:v>新增</x:v>
      </x:c>
      <x:c r="R164" s="6" t="str">
        <x:v>无</x:v>
      </x:c>
      <x:c r="S164" s="6" t="str">
        <x:v>无</x:v>
      </x:c>
      <x:c r="T164" s="6" t="str">
        <x:v>新增交互场景；独立起始模型来源另见M-INT-063，不把同基础模型计为旧交互题沿用。该题已有独立物理改动，不与其他任务共享模型。</x:v>
      </x:c>
      <x:c r="U16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4" s="6" t="str">
        <x:v>混合单元工具链需验证；逐轮状态与目标/非目标差异评测待实现</x:v>
      </x:c>
      <x:c r="W164" s="6" t="str">
        <x:v>规划，待编题与验证</x:v>
      </x:c>
      <x:c r="X164" s="6" t="str">
        <x:v>OpenSees</x:v>
      </x:c>
      <x:c r="Y164" s="19" t="str">
        <x:v>OpenSees</x:v>
      </x:c>
      <x:c r="Z164" s="6" t="str">
        <x:v>刚接梁柱与轴力斜撑混合单元，采用显式单元与连接定义</x:v>
      </x:c>
      <x:c r="AA16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4" s="6" t="str">
        <x:v>待逐题验证</x:v>
      </x:c>
      <x:c r="AC164" s="6" t="str">
        <x:v>未逐题验收；前置检查项：混合单元工具链需验证，并核对混合单元澄清后的模型更新和结果定位；不把一般OpenSees支持等同于当前StructureClaw已实现。</x:v>
      </x:c>
      <x:c r="AD164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4" s="6" t="str">
        <x:v>OPS；COMMON</x:v>
      </x:c>
    </x:row>
    <x:row r="165" ht="67.5" customHeight="1">
      <x:c r="A165" s="14" t="str">
        <x:v>INT-064</x:v>
      </x:c>
      <x:c r="B165" s="11" t="str">
        <x:v>交互鲁棒性</x:v>
      </x:c>
      <x:c r="C165" s="18" t="str">
        <x:v>M-INT-064</x:v>
      </x:c>
      <x:c r="D165" s="11" t="str">
        <x:v>只延长二层外挑而不改一层</x:v>
      </x:c>
      <x:c r="E165" s="11" t="str">
        <x:v>平面钢框架</x:v>
      </x:c>
      <x:c r="F165" s="18" t="str">
        <x:v>2D</x:v>
      </x:c>
      <x:c r="G165" s="11" t="str">
        <x:v>指定楼层几何更新</x:v>
      </x:c>
      <x:c r="H165" s="18" t="str">
        <x:v>L3</x:v>
      </x:c>
      <x:c r="I165" s="11" t="str">
        <x:v>相似两层外挑需精确选层，荷载随新几何更新</x:v>
      </x:c>
      <x:c r="J165" s="18" t="str">
        <x:v>英文</x:v>
      </x:c>
      <x:c r="K165" s="11" t="str">
        <x:v>文本2轮＋完整属性附件（仅暂缺项除外）</x:v>
      </x:c>
      <x:c r="L165" s="22" t="n">
        <x:v>2</x:v>
      </x:c>
      <x:c r="M165" s="11" t="str">
        <x:v>T1所用独立模型为M-INT-064（一层主梁加集中力的双层外挑框架）。T1建立M-INT-064；T2仅二层右外挑1.5改2m，按原线载强度加载。</x:v>
      </x:c>
      <x:c r="N165" s="11" t="str">
        <x:v>悬挑连接与楼层加载区域；荷载位置的独立状态保持</x:v>
      </x:c>
      <x:c r="O165" s="11" t="str">
        <x:v>最高层最右梁柱节点Ux/Uz及最左首层柱底My/Rz；所有值附位置、方向、单位、工况及当前轮次；澄清前不编造数值。</x:v>
      </x:c>
      <x:c r="P165" s="11" t="str">
        <x:v>一层1.5m不变；二层端点和杆长更新；主跨6m及其荷载不变；一层主梁22kN不随二层外挑延长而移动。</x:v>
      </x:c>
      <x:c r="Q165" s="18" t="str">
        <x:v>新增</x:v>
      </x:c>
      <x:c r="R165" s="11" t="str">
        <x:v>无</x:v>
      </x:c>
      <x:c r="S165" s="11" t="str">
        <x:v>无</x:v>
      </x:c>
      <x:c r="T165" s="11" t="str">
        <x:v>新增交互场景；独立起始模型来源另见M-INT-064，不把同基础模型计为旧交互题沿用。该题已有独立物理改动，不与其他任务共享模型。</x:v>
      </x:c>
      <x:c r="U16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5" s="11" t="str">
        <x:v>基础工具；逐轮状态与目标/非目标差异评测待实现</x:v>
      </x:c>
      <x:c r="W165" s="11" t="str">
        <x:v>规划，待编题与验证</x:v>
      </x:c>
      <x:c r="X165" s="11" t="str">
        <x:v>OpenSees</x:v>
      </x:c>
      <x:c r="Y165" s="18" t="str">
        <x:v>OpenSees</x:v>
      </x:c>
      <x:c r="Z165" s="11" t="str">
        <x:v>2D平面钢框架的指定楼层几何更新，重点是悬挑连接与楼层加载区域，用显式杆系模型核对状态与响应。</x:v>
      </x:c>
      <x:c r="AA16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5" s="11" t="str">
        <x:v>待逐题验证</x:v>
      </x:c>
      <x:c r="AC165" s="11" t="str">
        <x:v>未逐题验收；前置检查项：基础工具，并核对指定楼层几何更新后的模型更新和结果定位；不把一般OpenSees支持等同于当前StructureClaw已实现。</x:v>
      </x:c>
      <x:c r="AD165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5" s="11" t="str">
        <x:v>OPS；COMMON</x:v>
      </x:c>
    </x:row>
    <x:row r="166" ht="67.5" customHeight="1">
      <x:c r="A166" s="15" t="str">
        <x:v>INT-065</x:v>
      </x:c>
      <x:c r="B166" s="6" t="str">
        <x:v>交互鲁棒性</x:v>
      </x:c>
      <x:c r="C166" s="19" t="str">
        <x:v>M-INT-065</x:v>
      </x:c>
      <x:c r="D166" s="6" t="str">
        <x:v>楼层线载只改最上层</x:v>
      </x:c>
      <x:c r="E166" s="6" t="str">
        <x:v>平面钢框架</x:v>
      </x:c>
      <x:c r="F166" s="19" t="str">
        <x:v>2D</x:v>
      </x:c>
      <x:c r="G166" s="6" t="str">
        <x:v>分层定向更新</x:v>
      </x:c>
      <x:c r="H166" s="19" t="str">
        <x:v>L2</x:v>
      </x:c>
      <x:c r="I166" s="6" t="str">
        <x:v>同类荷载跨楼层不能全局替换</x:v>
      </x:c>
      <x:c r="J166" s="19" t="str">
        <x:v>中文</x:v>
      </x:c>
      <x:c r="K166" s="6" t="str">
        <x:v>文本2轮＋完整属性附件（仅暂缺项除外）</x:v>
      </x:c>
      <x:c r="L166" s="23" t="n">
        <x:v>2</x:v>
      </x:c>
      <x:c r="M166" s="6" t="str">
        <x:v>T1所用独立模型为M-INT-065（顶层梁刚度不同的分层载框架）。T1建立M-INT-065；T2顶层6kN/m改8kN/m，一二层不变。</x:v>
      </x:c>
      <x:c r="N166" s="6" t="str">
        <x:v>不得把第一层荷载复制全楼；截面分组的独立状态保持</x:v>
      </x:c>
      <x:c r="O166" s="6" t="str">
        <x:v>最高层最右梁柱节点Ux/Uz及最左首层柱底My/Rz；所有值附位置、方向、单位、工况及当前轮次；澄清前不编造数值。</x:v>
      </x:c>
      <x:c r="P166" s="6" t="str">
        <x:v>从下至上最终12、10、8；两跨每层都正确；顶层B2保持，线载更新仅影响载荷字段。</x:v>
      </x:c>
      <x:c r="Q166" s="19" t="str">
        <x:v>新增</x:v>
      </x:c>
      <x:c r="R166" s="6" t="str">
        <x:v>无</x:v>
      </x:c>
      <x:c r="S166" s="6" t="str">
        <x:v>无</x:v>
      </x:c>
      <x:c r="T166" s="6" t="str">
        <x:v>新增交互场景；独立起始模型来源另见M-INT-065，不把同基础模型计为旧交互题沿用。该题已有独立物理改动，不与其他任务共享模型。</x:v>
      </x:c>
      <x:c r="U16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6" s="6" t="str">
        <x:v>基础工具；逐轮状态与目标/非目标差异评测待实现</x:v>
      </x:c>
      <x:c r="W166" s="6" t="str">
        <x:v>规划，待编题与验证</x:v>
      </x:c>
      <x:c r="X166" s="6" t="str">
        <x:v>OpenSees</x:v>
      </x:c>
      <x:c r="Y166" s="19" t="str">
        <x:v>OpenSees</x:v>
      </x:c>
      <x:c r="Z166" s="6" t="str">
        <x:v>2D平面钢框架的分层定向更新，重点是不得把第一层荷载复制全楼，用显式杆系模型核对状态与响应。</x:v>
      </x:c>
      <x:c r="AA16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6" s="6" t="str">
        <x:v>待逐题验证</x:v>
      </x:c>
      <x:c r="AC166" s="6" t="str">
        <x:v>未逐题验收；前置检查项：基础工具，并核对分层定向更新后的模型更新和结果定位；不把一般OpenSees支持等同于当前StructureClaw已实现。</x:v>
      </x:c>
      <x:c r="AD16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6" s="6" t="str">
        <x:v>OPS；COMMON</x:v>
      </x:c>
    </x:row>
    <x:row r="167" ht="67.5" customHeight="1">
      <x:c r="A167" s="14" t="str">
        <x:v>INT-066</x:v>
      </x:c>
      <x:c r="B167" s="11" t="str">
        <x:v>交互鲁棒性</x:v>
      </x:c>
      <x:c r="C167" s="18" t="str">
        <x:v>M-INT-066</x:v>
      </x:c>
      <x:c r="D167" s="11" t="str">
        <x:v>同名截面修订记录消歧</x:v>
      </x:c>
      <x:c r="E167" s="11" t="str">
        <x:v>平面钢框架</x:v>
      </x:c>
      <x:c r="F167" s="18" t="str">
        <x:v>2D</x:v>
      </x:c>
      <x:c r="G167" s="11" t="str">
        <x:v>属性版本澄清与更新</x:v>
      </x:c>
      <x:c r="H167" s="18" t="str">
        <x:v>L3</x:v>
      </x:c>
      <x:c r="I167" s="11" t="str">
        <x:v>同截面名有两个属性版本且只适用指定成员组</x:v>
      </x:c>
      <x:c r="J167" s="18" t="str">
        <x:v>英文</x:v>
      </x:c>
      <x:c r="K167" s="11" t="str">
        <x:v>文本3轮＋完整属性附件（仅暂缺项除外）</x:v>
      </x:c>
      <x:c r="L167" s="22" t="n">
        <x:v>3</x:v>
      </x:c>
      <x:c r="M167" s="11" t="str">
        <x:v>T1所用独立模型为M-INT-066（柱中侧载的多截面组框架）。T1建立M-INT-066；T2给B-right两版属性却未指定生效版；T3确认v2只用于右跨梁。</x:v>
      </x:c>
      <x:c r="N167" s="11" t="str">
        <x:v>成员组和属性表对应关系；荷载位置的独立状态保持</x:v>
      </x:c>
      <x:c r="O167" s="11" t="str">
        <x:v>最高层最右梁柱节点Ux/Uz及最左首层柱底My/Rz；所有值附位置、方向、单位、工况及当前轮次；澄清前不编造数值。</x:v>
      </x:c>
      <x:c r="P167" s="11" t="str">
        <x:v>只将右梁组绑定v2；左梁、边柱中柱不变；不覆盖同名历史结果；中柱中点7kN保持，梁截面版本修订不能影响柱与点力。</x:v>
      </x:c>
      <x:c r="Q167" s="18" t="str">
        <x:v>新增</x:v>
      </x:c>
      <x:c r="R167" s="11" t="str">
        <x:v>无</x:v>
      </x:c>
      <x:c r="S167" s="11" t="str">
        <x:v>无</x:v>
      </x:c>
      <x:c r="T167" s="11" t="str">
        <x:v>新增交互场景；独立起始模型来源另见M-INT-066，不把同基础模型计为旧交互题沿用。该题已有独立物理改动，不与其他任务共享模型。</x:v>
      </x:c>
      <x:c r="U16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7" s="11" t="str">
        <x:v>基础工具；逐轮状态与目标/非目标差异评测待实现</x:v>
      </x:c>
      <x:c r="W167" s="11" t="str">
        <x:v>规划，待编题与验证</x:v>
      </x:c>
      <x:c r="X167" s="11" t="str">
        <x:v>OpenSees</x:v>
      </x:c>
      <x:c r="Y167" s="18" t="str">
        <x:v>OpenSees</x:v>
      </x:c>
      <x:c r="Z167" s="11" t="str">
        <x:v>2D平面钢框架的属性版本澄清与更新，重点是成员组和属性表对应关系，用显式杆系模型核对状态与响应。</x:v>
      </x:c>
      <x:c r="AA16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7" s="11" t="str">
        <x:v>待逐题验证</x:v>
      </x:c>
      <x:c r="AC167" s="11" t="str">
        <x:v>未逐题验收；前置检查项：基础工具，并核对属性版本澄清与更新后的模型更新和结果定位；不把一般OpenSees支持等同于当前StructureClaw已实现。</x:v>
      </x:c>
      <x:c r="AD167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7" s="11" t="str">
        <x:v>OPS；COMMON</x:v>
      </x:c>
    </x:row>
    <x:row r="168" ht="67.5" customHeight="1">
      <x:c r="A168" s="15" t="str">
        <x:v>INT-067</x:v>
      </x:c>
      <x:c r="B168" s="6" t="str">
        <x:v>交互鲁棒性</x:v>
      </x:c>
      <x:c r="C168" s="19" t="str">
        <x:v>M-INT-067</x:v>
      </x:c>
      <x:c r="D168" s="6" t="str">
        <x:v>取消上层中柱后补连梁确认</x:v>
      </x:c>
      <x:c r="E168" s="6" t="str">
        <x:v>平面钢框架</x:v>
      </x:c>
      <x:c r="F168" s="19" t="str">
        <x:v>2D</x:v>
      </x:c>
      <x:c r="G168" s="6" t="str">
        <x:v>拓扑冲突澄清</x:v>
      </x:c>
      <x:c r="H168" s="19" t="str">
        <x:v>L3</x:v>
      </x:c>
      <x:c r="I168" s="6" t="str">
        <x:v>删除柱与连续梁跨越关系必须成套确认</x:v>
      </x:c>
      <x:c r="J168" s="19" t="str">
        <x:v>中文</x:v>
      </x:c>
      <x:c r="K168" s="6" t="str">
        <x:v>文本2轮＋完整属性附件（仅暂缺项除外）</x:v>
      </x:c>
      <x:c r="L168" s="23" t="n">
        <x:v>2</x:v>
      </x:c>
      <x:c r="M168" s="6" t="str">
        <x:v>T1所用独立模型为M-INT-067（上层跨梁局部均布载的缺柱框架）。T1给M-INT-067，表明确上层中柱删除但旧示意文字说保留；T2确认删除并按完整连续梁连接表建上层梁。</x:v>
      </x:c>
      <x:c r="N168" s="6" t="str">
        <x:v>按实际连接表处理非规则柱线；荷载分布的独立状态保持</x:v>
      </x:c>
      <x:c r="O168" s="6" t="str">
        <x:v>最高层最右梁柱节点Ux/Uz及最左首层柱底My/Rz；所有值附位置、方向、单位、工况及当前轮次；澄清前不编造数值。</x:v>
      </x:c>
      <x:c r="P168" s="6" t="str">
        <x:v>下层中柱保留；上层梁按表贯通；不把悬空旧柱或孤立节点残留；上层局部载区2～8m保留，不按补全网格全跨加载。</x:v>
      </x:c>
      <x:c r="Q168" s="19" t="str">
        <x:v>新增</x:v>
      </x:c>
      <x:c r="R168" s="6" t="str">
        <x:v>无</x:v>
      </x:c>
      <x:c r="S168" s="6" t="str">
        <x:v>无</x:v>
      </x:c>
      <x:c r="T168" s="6" t="str">
        <x:v>新增交互场景；独立起始模型来源另见M-INT-067，不把同基础模型计为旧交互题沿用。该题已有独立物理改动，不与其他任务共享模型。</x:v>
      </x:c>
      <x:c r="U16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8" s="6" t="str">
        <x:v>机构与连通性需独立验证；逐轮状态与目标/非目标差异评测待实现</x:v>
      </x:c>
      <x:c r="W168" s="6" t="str">
        <x:v>规划，待编题与验证</x:v>
      </x:c>
      <x:c r="X168" s="6" t="str">
        <x:v>OpenSees</x:v>
      </x:c>
      <x:c r="Y168" s="19" t="str">
        <x:v>OpenSees</x:v>
      </x:c>
      <x:c r="Z168" s="6" t="str">
        <x:v>2D平面钢框架的拓扑冲突澄清，重点是按实际连接表处理非规则柱线，用显式杆系模型核对状态与响应。</x:v>
      </x:c>
      <x:c r="AA16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8" s="6" t="str">
        <x:v>待逐题验证</x:v>
      </x:c>
      <x:c r="AC168" s="6" t="str">
        <x:v>未逐题验收；前置检查项：机构与连通性需独立验证，并核对拓扑冲突澄清后的模型更新和结果定位；不把一般OpenSees支持等同于当前StructureClaw已实现。</x:v>
      </x:c>
      <x:c r="AD16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8" s="6" t="str">
        <x:v>OPS；COMMON</x:v>
      </x:c>
    </x:row>
    <x:row r="169" ht="67.5" customHeight="1">
      <x:c r="A169" s="14" t="str">
        <x:v>INT-068</x:v>
      </x:c>
      <x:c r="B169" s="11" t="str">
        <x:v>交互鲁棒性</x:v>
      </x:c>
      <x:c r="C169" s="18" t="str">
        <x:v>M-INT-068</x:v>
      </x:c>
      <x:c r="D169" s="11" t="str">
        <x:v>负标高不是负层高</x:v>
      </x:c>
      <x:c r="E169" s="11" t="str">
        <x:v>平面钢框架</x:v>
      </x:c>
      <x:c r="F169" s="18" t="str">
        <x:v>2D</x:v>
      </x:c>
      <x:c r="G169" s="11" t="str">
        <x:v>合法坐标直接执行</x:v>
      </x:c>
      <x:c r="H169" s="18" t="str">
        <x:v>L2</x:v>
      </x:c>
      <x:c r="I169" s="11" t="str">
        <x:v>绝对负坐标合法，而层高仍应为正差值</x:v>
      </x:c>
      <x:c r="J169" s="18" t="str">
        <x:v>英文</x:v>
      </x:c>
      <x:c r="K169" s="11" t="str">
        <x:v>文本单轮＋完整属性附件（仅暂缺项除外）</x:v>
      </x:c>
      <x:c r="L169" s="22" t="n">
        <x:v>1</x:v>
      </x:c>
      <x:c r="M169" s="11" t="str">
        <x:v>T1所用独立模型为M-INT-068（地下标高框架首层中点水平力）。T1完整给M-INT-068：柱底-1.5m、楼层2.1/5.7m，属性荷载齐全，直接分析。</x:v>
      </x:c>
      <x:c r="N169" s="11" t="str">
        <x:v>绝对负坐标不是负层高；荷载位置的独立状态保持</x:v>
      </x:c>
      <x:c r="O169" s="11" t="str">
        <x:v>最高层最右梁柱节点Ux/Uz及最左首层柱底My/Rz；所有值附位置、方向、单位、工况及当前轮次；澄清前不编造数值。</x:v>
      </x:c>
      <x:c r="P169" s="11" t="str">
        <x:v>两层层高均3.6m；不得把柱底移到0或拒算；支承在-1.5m；负柱底和z=0.3m施力点均保持，不整体平移坐标。</x:v>
      </x:c>
      <x:c r="Q169" s="18" t="str">
        <x:v>新增</x:v>
      </x:c>
      <x:c r="R169" s="11" t="str">
        <x:v>无</x:v>
      </x:c>
      <x:c r="S169" s="11" t="str">
        <x:v>无</x:v>
      </x:c>
      <x:c r="T169" s="11" t="str">
        <x:v>新增交互场景；独立起始模型来源另见M-INT-068，不把同基础模型计为旧交互题沿用。该题已有独立物理改动，不与其他任务共享模型。</x:v>
      </x:c>
      <x:c r="U16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69" s="11" t="str">
        <x:v>基础工具；逐轮状态与目标/非目标差异评测待实现</x:v>
      </x:c>
      <x:c r="W169" s="11" t="str">
        <x:v>规划，待编题与验证</x:v>
      </x:c>
      <x:c r="X169" s="11" t="str">
        <x:v>OpenSees</x:v>
      </x:c>
      <x:c r="Y169" s="18" t="str">
        <x:v>OpenSees</x:v>
      </x:c>
      <x:c r="Z169" s="11" t="str">
        <x:v>2D平面钢框架的合法坐标直接执行，重点是绝对负坐标不是负层高，用显式杆系模型核对状态与响应。</x:v>
      </x:c>
      <x:c r="AA16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69" s="11" t="str">
        <x:v>待逐题验证</x:v>
      </x:c>
      <x:c r="AC169" s="11" t="str">
        <x:v>未逐题验收；前置检查项：基础工具，并核对合法坐标直接执行后的模型更新和结果定位；不把一般OpenSees支持等同于当前StructureClaw已实现。</x:v>
      </x:c>
      <x:c r="AD169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6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69" s="11" t="str">
        <x:v>OPS；COMMON</x:v>
      </x:c>
    </x:row>
    <x:row r="170" ht="67.5" customHeight="1">
      <x:c r="A170" s="15" t="str">
        <x:v>INT-069</x:v>
      </x:c>
      <x:c r="B170" s="6" t="str">
        <x:v>交互鲁棒性</x:v>
      </x:c>
      <x:c r="C170" s="19" t="str">
        <x:v>M-INT-069</x:v>
      </x:c>
      <x:c r="D170" s="6" t="str">
        <x:v>混凝土弹性模量缺项补全</x:v>
      </x:c>
      <x:c r="E170" s="6" t="str">
        <x:v>平面混凝土框架</x:v>
      </x:c>
      <x:c r="F170" s="19" t="str">
        <x:v>2D</x:v>
      </x:c>
      <x:c r="G170" s="6" t="str">
        <x:v>材料缺项澄清后计算</x:v>
      </x:c>
      <x:c r="H170" s="19" t="str">
        <x:v>L2</x:v>
      </x:c>
      <x:c r="I170" s="6" t="str">
        <x:v>材料名称不能代替缺失的可复现弹性参数</x:v>
      </x:c>
      <x:c r="J170" s="19" t="str">
        <x:v>中文</x:v>
      </x:c>
      <x:c r="K170" s="6" t="str">
        <x:v>文本2轮＋完整属性附件（仅暂缺项除外）</x:v>
      </x:c>
      <x:c r="L170" s="23" t="n">
        <x:v>2</x:v>
      </x:c>
      <x:c r="M170" s="6" t="str">
        <x:v>T1采用独立模型M-INT-069，材料记录E和G同时空缺，nu=0.2，且不提供材料名到E的默认映射；其他属性及各层截面齐全；T2明确E=30000MPa，按给定G=E/[2(1+nu)]得到12500MPa后计算。</x:v>
      </x:c>
      <x:c r="N170" s="6" t="str">
        <x:v>给定材料截面记录与梁柱角色；截面分组的独立状态保持</x:v>
      </x:c>
      <x:c r="O170" s="6" t="str">
        <x:v>最高层最右梁柱节点Ux/Uz及最左首层柱底My/Rz；所有值附位置、方向、单位、工况及当前轮次；澄清前不编造数值。</x:v>
      </x:c>
      <x:c r="P170" s="6" t="str">
        <x:v>补齐后采用E=30000MPa/G=12500MPa/nu=0.2；一层梁300×600、屋面梁300×500、柱500×500mm保持；若已给信息可唯一推回E，应接受有依据推导，不强制追问。</x:v>
      </x:c>
      <x:c r="Q170" s="19" t="str">
        <x:v>旧题改编</x:v>
      </x:c>
      <x:c r="R170" s="6" t="str">
        <x:v>robust-concrete-frame-missing-material</x:v>
      </x:c>
      <x:c r="S170" s="6" t="str">
        <x:v>无</x:v>
      </x:c>
      <x:c r="T170" s="6" t="str">
        <x:v>旧题交互机制迁入M-INT-069；补齐属性、完成计算与更新不变量；本行轮次为新契约，旧数字不直接沿用。该题已有独立物理改动，不与其他任务共享模型。</x:v>
      </x:c>
      <x:c r="U170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0" s="6" t="str">
        <x:v>基础工具；逐轮状态与目标/非目标差异评测待实现；缺E时同步屏蔽G及可唯一反推E的映射，接受有效推导</x:v>
      </x:c>
      <x:c r="W170" s="6" t="str">
        <x:v>规划，待编题与验证</x:v>
      </x:c>
      <x:c r="X170" s="6" t="str">
        <x:v>OpenSees</x:v>
      </x:c>
      <x:c r="Y170" s="19" t="str">
        <x:v>OpenSees</x:v>
      </x:c>
      <x:c r="Z170" s="6" t="str">
        <x:v>2D平面混凝土框架的材料缺项澄清后计算，重点是给定材料截面记录与梁柱角色，用显式杆系模型核对状态与响应。</x:v>
      </x:c>
      <x:c r="AA170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0" s="6" t="str">
        <x:v>待逐题验证</x:v>
      </x:c>
      <x:c r="AC170" s="6" t="str">
        <x:v>未逐题验收；前置检查项：基础工具，并核对材料缺项澄清后计算后的模型更新和结果定位；不把一般OpenSees支持等同于当前StructureClaw已实现。</x:v>
      </x:c>
      <x:c r="AD170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0" s="6" t="str">
        <x:v>OPS；COMMON</x:v>
      </x:c>
    </x:row>
    <x:row r="171" ht="67.5" customHeight="1">
      <x:c r="A171" s="14" t="str">
        <x:v>INT-070</x:v>
      </x:c>
      <x:c r="B171" s="11" t="str">
        <x:v>交互鲁棒性</x:v>
      </x:c>
      <x:c r="C171" s="18" t="str">
        <x:v>M-INT-070</x:v>
      </x:c>
      <x:c r="D171" s="11" t="str">
        <x:v>三层框架层高负号修正</x:v>
      </x:c>
      <x:c r="E171" s="11" t="str">
        <x:v>平面混凝土框架</x:v>
      </x:c>
      <x:c r="F171" s="18" t="str">
        <x:v>2D</x:v>
      </x:c>
      <x:c r="G171" s="11" t="str">
        <x:v>无效值修正后完成</x:v>
      </x:c>
      <x:c r="H171" s="18" t="str">
        <x:v>L2</x:v>
      </x:c>
      <x:c r="I171" s="11" t="str">
        <x:v>确认负层高是笔误后应恢复明确正高</x:v>
      </x:c>
      <x:c r="J171" s="18" t="str">
        <x:v>英文</x:v>
      </x:c>
      <x:c r="K171" s="11" t="str">
        <x:v>文本2轮＋完整属性附件（仅暂缺项除外）</x:v>
      </x:c>
      <x:c r="L171" s="22" t="n">
        <x:v>2</x:v>
      </x:c>
      <x:c r="M171" s="11" t="str">
        <x:v>T1所用独立模型为M-INT-070（中间层梁附加节点竖载的C35框架）。T1给M-INT-070但第二层层高写-3.3m；T2确认第二层应+3.3m。</x:v>
      </x:c>
      <x:c r="N171" s="11" t="str">
        <x:v>层数与面载折算只施加一次；荷载位置的独立状态保持</x:v>
      </x:c>
      <x:c r="O171" s="11" t="str">
        <x:v>最高层最右梁柱节点Ux/Uz及最左首层柱底My/Rz；所有值附位置、方向、单位、工况及当前轮次；澄清前不编造数值。</x:v>
      </x:c>
      <x:c r="P171" s="11" t="str">
        <x:v>仅修正第二层；最终标高3.3/6.6/9.9m；C35及60kN/m保持；第二层集中力位置随层高纠正到6.6m；其他层无此额外力。</x:v>
      </x:c>
      <x:c r="Q171" s="18" t="str">
        <x:v>旧题改编</x:v>
      </x:c>
      <x:c r="R171" s="11" t="str">
        <x:v>error-frame-negative-dimensions</x:v>
      </x:c>
      <x:c r="S171" s="11" t="str">
        <x:v>无</x:v>
      </x:c>
      <x:c r="T171" s="11" t="str">
        <x:v>旧题交互机制迁入M-INT-070；补齐属性、完成计算与更新不变量；本行轮次为新契约，旧数字不直接沿用。该题已有独立物理改动，不与其他任务共享模型。</x:v>
      </x:c>
      <x:c r="U17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1" s="11" t="str">
        <x:v>基础工具；逐轮状态与目标/非目标差异评测待实现</x:v>
      </x:c>
      <x:c r="W171" s="11" t="str">
        <x:v>规划，待编题与验证</x:v>
      </x:c>
      <x:c r="X171" s="11" t="str">
        <x:v>OpenSees</x:v>
      </x:c>
      <x:c r="Y171" s="18" t="str">
        <x:v>OpenSees</x:v>
      </x:c>
      <x:c r="Z171" s="11" t="str">
        <x:v>2D平面混凝土框架的无效值修正后完成，重点是层数与面载折算只施加一次，用显式杆系模型核对状态与响应。</x:v>
      </x:c>
      <x:c r="AA17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1" s="11" t="str">
        <x:v>待逐题验证</x:v>
      </x:c>
      <x:c r="AC171" s="11" t="str">
        <x:v>未逐题验收；前置检查项：基础工具，并核对无效值修正后完成后的模型更新和结果定位；不把一般OpenSees支持等同于当前StructureClaw已实现。</x:v>
      </x:c>
      <x:c r="AD171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1" s="11" t="str">
        <x:v>OPS；COMMON</x:v>
      </x:c>
    </x:row>
    <x:row r="172" ht="67.5" customHeight="1">
      <x:c r="A172" s="15" t="str">
        <x:v>INT-071</x:v>
      </x:c>
      <x:c r="B172" s="6" t="str">
        <x:v>交互鲁棒性</x:v>
      </x:c>
      <x:c r="C172" s="19" t="str">
        <x:v>M-INT-071</x:v>
      </x:c>
      <x:c r="D172" s="6" t="str">
        <x:v>混凝土C30改C40使用实物属性</x:v>
      </x:c>
      <x:c r="E172" s="6" t="str">
        <x:v>平面混凝土框架</x:v>
      </x:c>
      <x:c r="F172" s="19" t="str">
        <x:v>2D</x:v>
      </x:c>
      <x:c r="G172" s="6" t="str">
        <x:v>材料定向更新</x:v>
      </x:c>
      <x:c r="H172" s="19" t="str">
        <x:v>L2</x:v>
      </x:c>
      <x:c r="I172" s="6" t="str">
        <x:v>等级文本与实际弹性参数必须同步而非只改名称</x:v>
      </x:c>
      <x:c r="J172" s="19" t="str">
        <x:v>中文</x:v>
      </x:c>
      <x:c r="K172" s="6" t="str">
        <x:v>文本2轮＋完整属性附件（仅暂缺项除外）</x:v>
      </x:c>
      <x:c r="L172" s="23" t="n">
        <x:v>2</x:v>
      </x:c>
      <x:c r="M172" s="6" t="str">
        <x:v>T1所用独立模型为M-INT-071（仅边柱加粗的材料更新框架）。T1建立M-INT-071及C30完整材料记录；T2所有混凝土换成附件C40记录并重算。</x:v>
      </x:c>
      <x:c r="N172" s="6" t="str">
        <x:v>保留材料等级与实际E值关联；截面分组的独立状态保持</x:v>
      </x:c>
      <x:c r="O172" s="6" t="str">
        <x:v>最高层最右梁柱节点Ux/Uz及最左首层柱底My/Rz；所有值附位置、方向、单位、工况及当前轮次；澄清前不编造数值。</x:v>
      </x:c>
      <x:c r="P172" s="6" t="str">
        <x:v>每根梁柱材性同步替换；外柱600×500、中柱500×500及梁300×600截面、两跨层高及10kN/m不变；C30→C40不改变边中柱尺寸差异和方向。</x:v>
      </x:c>
      <x:c r="Q172" s="19" t="str">
        <x:v>旧题改编</x:v>
      </x:c>
      <x:c r="R172" s="6" t="str">
        <x:v>robust-update-concrete-material</x:v>
      </x:c>
      <x:c r="S172" s="6" t="str">
        <x:v>无</x:v>
      </x:c>
      <x:c r="T172" s="6" t="str">
        <x:v>旧题交互机制迁入M-INT-071；补齐属性、完成计算与更新不变量；本行轮次为新契约，旧数字不直接沿用。该题已有独立物理改动，不与其他任务共享模型。</x:v>
      </x:c>
      <x:c r="U172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2" s="6" t="str">
        <x:v>基础工具；矩形柱局部轴需验证；逐轮状态与目标/非目标差异评测待实现</x:v>
      </x:c>
      <x:c r="W172" s="6" t="str">
        <x:v>规划，待编题与验证</x:v>
      </x:c>
      <x:c r="X172" s="6" t="str">
        <x:v>OpenSees</x:v>
      </x:c>
      <x:c r="Y172" s="19" t="str">
        <x:v>OpenSees</x:v>
      </x:c>
      <x:c r="Z172" s="6" t="str">
        <x:v>2D平面混凝土框架的材料定向更新，重点是保留材料等级与实际E值关联，用显式杆系模型核对状态与响应。</x:v>
      </x:c>
      <x:c r="AA172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2" s="6" t="str">
        <x:v>待逐题验证</x:v>
      </x:c>
      <x:c r="AC172" s="6" t="str">
        <x:v>未逐题验收；前置检查项：基础工具；矩形柱局部轴需验证，并核对材料定向更新后的模型更新和结果定位；不把一般OpenSees支持等同于当前StructureClaw已实现。</x:v>
      </x:c>
      <x:c r="AD172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2" s="6" t="str">
        <x:v>OPS；COMMON</x:v>
      </x:c>
    </x:row>
    <x:row r="173" ht="67.5" customHeight="1">
      <x:c r="A173" s="14" t="str">
        <x:v>INT-072</x:v>
      </x:c>
      <x:c r="B173" s="11" t="str">
        <x:v>交互鲁棒性</x:v>
      </x:c>
      <x:c r="C173" s="18" t="str">
        <x:v>M-INT-072</x:v>
      </x:c>
      <x:c r="D173" s="11" t="str">
        <x:v>缺跨数的框架补齐连接</x:v>
      </x:c>
      <x:c r="E173" s="11" t="str">
        <x:v>平面混凝土框架</x:v>
      </x:c>
      <x:c r="F173" s="18" t="str">
        <x:v>2D</x:v>
      </x:c>
      <x:c r="G173" s="11" t="str">
        <x:v>几何缺项澄清</x:v>
      </x:c>
      <x:c r="H173" s="18" t="str">
        <x:v>L2</x:v>
      </x:c>
      <x:c r="I173" s="11" t="str">
        <x:v>层高齐全但跨数和第二跨缺失不能默认单跨</x:v>
      </x:c>
      <x:c r="J173" s="18" t="str">
        <x:v>英文</x:v>
      </x:c>
      <x:c r="K173" s="11" t="str">
        <x:v>文本2轮＋完整属性附件（仅暂缺项除外）</x:v>
      </x:c>
      <x:c r="L173" s="22" t="n">
        <x:v>2</x:v>
      </x:c>
      <x:c r="M173" s="11" t="str">
        <x:v>T1所用独立模型为M-INT-072（不等高框架右跨局部活载）。T1给M-INT-072三层高度和首跨5m，遗漏总跨数及后续跨度；T2确认两跨5、7m并提供对应连接表。</x:v>
      </x:c>
      <x:c r="N173" s="11" t="str">
        <x:v>楼层标高和各跨连接；荷载工况的独立状态保持</x:v>
      </x:c>
      <x:c r="O173" s="11" t="str">
        <x:v>最高层最右梁柱节点Ux/Uz及最左首层柱底My/Rz；所有值附位置、方向、单位、工况及当前轮次；澄清前不编造数值。</x:v>
      </x:c>
      <x:c r="P173" s="11" t="str">
        <x:v>只补必要几何；柱线x=0、5、12m，层高累计正确；所有柱脚固定；左右载荷分组不同保持，补跨数后不能给左梁加L；若已有信息可唯一推得缺项，接受说明依据后直接完成，否则再澄清。</x:v>
      </x:c>
      <x:c r="Q173" s="18" t="str">
        <x:v>旧题改编</x:v>
      </x:c>
      <x:c r="R173" s="11" t="str">
        <x:v>robust-frame-missing-bays</x:v>
      </x:c>
      <x:c r="S173" s="11" t="str">
        <x:v>无</x:v>
      </x:c>
      <x:c r="T173" s="11" t="str">
        <x:v>旧题交互机制迁入M-INT-072；补齐属性、完成计算与更新不变量；本行轮次为新契约，旧数字不直接沿用。该题已有独立物理改动，不与其他任务共享模型。</x:v>
      </x:c>
      <x:c r="U173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3" s="11" t="str">
        <x:v>基础工具；多工况执行契约需验证；逐轮状态与目标/非目标差异评测待实现</x:v>
      </x:c>
      <x:c r="W173" s="11" t="str">
        <x:v>规划，待编题与验证</x:v>
      </x:c>
      <x:c r="X173" s="11" t="str">
        <x:v>OpenSees</x:v>
      </x:c>
      <x:c r="Y173" s="18" t="str">
        <x:v>OpenSees</x:v>
      </x:c>
      <x:c r="Z173" s="11" t="str">
        <x:v>2D平面混凝土框架的几何缺项澄清，重点是楼层标高和各跨连接，用显式杆系模型核对状态与响应。</x:v>
      </x:c>
      <x:c r="AA173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3" s="11" t="str">
        <x:v>待逐题验证</x:v>
      </x:c>
      <x:c r="AC173" s="11" t="str">
        <x:v>未逐题验收；前置检查项：基础工具；多工况执行契约需验证，并核对几何缺项澄清后的模型更新和结果定位；不把一般OpenSees支持等同于当前StructureClaw已实现。</x:v>
      </x:c>
      <x:c r="AD173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3" s="11" t="str">
        <x:v>OPS；COMMON</x:v>
      </x:c>
    </x:row>
    <x:row r="174" ht="67.5" customHeight="1">
      <x:c r="A174" s="15" t="str">
        <x:v>INT-073</x:v>
      </x:c>
      <x:c r="B174" s="6" t="str">
        <x:v>交互鲁棒性</x:v>
      </x:c>
      <x:c r="C174" s="19" t="str">
        <x:v>M-INT-073</x:v>
      </x:c>
      <x:c r="D174" s="6" t="str">
        <x:v>梁柱不同材料是合法混合</x:v>
      </x:c>
      <x:c r="E174" s="6" t="str">
        <x:v>平面混凝土框架</x:v>
      </x:c>
      <x:c r="F174" s="19" t="str">
        <x:v>2D</x:v>
      </x:c>
      <x:c r="G174" s="6" t="str">
        <x:v>完整分组材料直接执行</x:v>
      </x:c>
      <x:c r="H174" s="19" t="str">
        <x:v>L2</x:v>
      </x:c>
      <x:c r="I174" s="6" t="str">
        <x:v>构件分组不同材料不构成同一构件材料冲突</x:v>
      </x:c>
      <x:c r="J174" s="19" t="str">
        <x:v>中文</x:v>
      </x:c>
      <x:c r="K174" s="6" t="str">
        <x:v>文本单轮＋完整属性附件（仅暂缺项除外）</x:v>
      </x:c>
      <x:c r="L174" s="23" t="n">
        <x:v>1</x:v>
      </x:c>
      <x:c r="M174" s="6" t="str">
        <x:v>T1所用独立模型为M-INT-073（梁柱异材料且屋面偏载框架）。T1完整给M-INT-073：柱C40、梁C30及各自完整弹性参数，要求线性静力分析。</x:v>
      </x:c>
      <x:c r="N174" s="6" t="str">
        <x:v>按构件角色分配材料而非全局覆盖；荷载分布的独立状态保持</x:v>
      </x:c>
      <x:c r="O174" s="6" t="str">
        <x:v>最高层最右梁柱节点Ux/Uz及最左首层柱底My/Rz；所有值附位置、方向、单位、工况及当前轮次；澄清前不编造数值。</x:v>
      </x:c>
      <x:c r="P174" s="6" t="str">
        <x:v>不误拒为材料冲突；按角色绑定材料；不进行未要求的钢筋或非线性设计；合法材料分组及屋面不对称加载均保留。</x:v>
      </x:c>
      <x:c r="Q174" s="19" t="str">
        <x:v>旧题改编</x:v>
      </x:c>
      <x:c r="R174" s="6" t="str">
        <x:v>robust-frame-conflicting-material</x:v>
      </x:c>
      <x:c r="S174" s="6" t="str">
        <x:v>无</x:v>
      </x:c>
      <x:c r="T174" s="6" t="str">
        <x:v>由旧同一构件材料冲突题改编为不同构件合法用不同材料的对照，评估能否按明确分组完成。该题已有独立物理改动，不与其他任务共享模型。</x:v>
      </x:c>
      <x:c r="U17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4" s="6" t="str">
        <x:v>基础工具；逐轮状态与目标/非目标差异评测待实现</x:v>
      </x:c>
      <x:c r="W174" s="6" t="str">
        <x:v>规划，待编题与验证</x:v>
      </x:c>
      <x:c r="X174" s="6" t="str">
        <x:v>OpenSees</x:v>
      </x:c>
      <x:c r="Y174" s="19" t="str">
        <x:v>OpenSees</x:v>
      </x:c>
      <x:c r="Z174" s="6" t="str">
        <x:v>2D平面混凝土框架的完整分组材料直接执行，重点是按构件角色分配材料而非全局覆盖，用显式杆系模型核对状态与响应。</x:v>
      </x:c>
      <x:c r="AA17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4" s="6" t="str">
        <x:v>待逐题验证</x:v>
      </x:c>
      <x:c r="AC174" s="6" t="str">
        <x:v>未逐题验收；前置检查项：基础工具，并核对完整分组材料直接执行后的模型更新和结果定位；不把一般OpenSees支持等同于当前StructureClaw已实现。</x:v>
      </x:c>
      <x:c r="AD174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4" s="6" t="str">
        <x:v>OPS；COMMON</x:v>
      </x:c>
    </x:row>
    <x:row r="175" ht="67.5" customHeight="1">
      <x:c r="A175" s="14" t="str">
        <x:v>INT-074</x:v>
      </x:c>
      <x:c r="B175" s="11" t="str">
        <x:v>交互鲁棒性</x:v>
      </x:c>
      <x:c r="C175" s="18" t="str">
        <x:v>M-INT-074</x:v>
      </x:c>
      <x:c r="D175" s="11" t="str">
        <x:v>矩形柱强弱轴修订后撤销</x:v>
      </x:c>
      <x:c r="E175" s="11" t="str">
        <x:v>平面混凝土框架</x:v>
      </x:c>
      <x:c r="F175" s="18" t="str">
        <x:v>2D</x:v>
      </x:c>
      <x:c r="G175" s="11" t="str">
        <x:v>局部轴修改与撤销</x:v>
      </x:c>
      <x:c r="H175" s="18" t="str">
        <x:v>L3</x:v>
      </x:c>
      <x:c r="I175" s="11" t="str">
        <x:v>两柱局部轴不同且截面尺寸与惯性矩必须一致</x:v>
      </x:c>
      <x:c r="J175" s="18" t="str">
        <x:v>英文</x:v>
      </x:c>
      <x:c r="K175" s="11" t="str">
        <x:v>文本3轮＋完整属性附件（仅暂缺项除外）</x:v>
      </x:c>
      <x:c r="L175" s="22" t="n">
        <x:v>3</x:v>
      </x:c>
      <x:c r="M175" s="11" t="str">
        <x:v>T1所用独立模型为M-INT-074（矩形柱框架新增梁端力矩）。T1建立M-INT-074；T2只旋转左侧两层柱组的局部截面轴90°，按附件变换定义；T3撤销这次旋转。</x:v>
      </x:c>
      <x:c r="N175" s="11" t="str">
        <x:v>矩形尺寸次序与实际弯曲刚度；荷载类型的独立状态保持</x:v>
      </x:c>
      <x:c r="O175" s="11" t="str">
        <x:v>最高层最右梁柱节点Ux/Uz及最左首层柱底My/Rz；所有值附位置、方向、单位、工况及当前轮次；澄清前不编造数值。</x:v>
      </x:c>
      <x:c r="P175" s="11" t="str">
        <x:v>右侧两层柱所有轮次不变；左侧两层柱最终恢复原方向；不能只交换显示宽高而保留旧刚度；右端12kN·m不随左柱轴向旋转改变。</x:v>
      </x:c>
      <x:c r="Q175" s="18" t="str">
        <x:v>新增</x:v>
      </x:c>
      <x:c r="R175" s="11" t="str">
        <x:v>无</x:v>
      </x:c>
      <x:c r="S175" s="11" t="str">
        <x:v>无</x:v>
      </x:c>
      <x:c r="T175" s="11" t="str">
        <x:v>新增交互场景；独立起始模型来源另见M-INT-074，不把同基础模型计为旧交互题沿用。该题已有独立物理改动，不与其他任务共享模型。</x:v>
      </x:c>
      <x:c r="U17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5" s="11" t="str">
        <x:v>局部轴输入与适配需验证；节点力矩及局部轴需验证；逐轮状态与目标/非目标差异评测待实现</x:v>
      </x:c>
      <x:c r="W175" s="11" t="str">
        <x:v>规划，待编题与验证</x:v>
      </x:c>
      <x:c r="X175" s="11" t="str">
        <x:v>OpenSees</x:v>
      </x:c>
      <x:c r="Y175" s="18" t="str">
        <x:v>OpenSees</x:v>
      </x:c>
      <x:c r="Z175" s="11" t="str">
        <x:v>矩形柱局部轴旋转/撤销侧重强弱轴力学，不依赖建筑楼层流程</x:v>
      </x:c>
      <x:c r="AA17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5" s="11" t="str">
        <x:v>待逐题验证</x:v>
      </x:c>
      <x:c r="AC175" s="11" t="str">
        <x:v>未逐题验收；前置检查项：局部轴输入与适配需验证；节点力矩及局部轴需验证，并核对局部轴修改与撤销后的模型更新和结果定位；不把一般OpenSees支持等同于当前StructureClaw已实现。</x:v>
      </x:c>
      <x:c r="AD175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5" s="11" t="str">
        <x:v>OPS；COMMON</x:v>
      </x:c>
    </x:row>
    <x:row r="176" ht="67.5" customHeight="1">
      <x:c r="A176" s="15" t="str">
        <x:v>INT-075</x:v>
      </x:c>
      <x:c r="B176" s="6" t="str">
        <x:v>交互鲁棒性</x:v>
      </x:c>
      <x:c r="C176" s="19" t="str">
        <x:v>M-INT-075</x:v>
      </x:c>
      <x:c r="D176" s="6" t="str">
        <x:v>退台边梁荷载局部更新</x:v>
      </x:c>
      <x:c r="E176" s="6" t="str">
        <x:v>平面混凝土框架</x:v>
      </x:c>
      <x:c r="F176" s="19" t="str">
        <x:v>2D</x:v>
      </x:c>
      <x:c r="G176" s="6" t="str">
        <x:v>非规则拓扑中的指定构件更新</x:v>
      </x:c>
      <x:c r="H176" s="19" t="str">
        <x:v>L3</x:v>
      </x:c>
      <x:c r="I176" s="6" t="str">
        <x:v>退台后上层边梁身份不能用全楼最右梁代替</x:v>
      </x:c>
      <x:c r="J176" s="19" t="str">
        <x:v>中文</x:v>
      </x:c>
      <x:c r="K176" s="6" t="str">
        <x:v>文本2轮＋完整属性附件（仅暂缺项除外）</x:v>
      </x:c>
      <x:c r="L176" s="23" t="n">
        <x:v>2</x:v>
      </x:c>
      <x:c r="M176" s="6" t="str">
        <x:v>T1所用独立模型为M-INT-075（退台混凝土框架底层中跨集中力）。T1建立M-INT-075；T2仅上层最右侧实际梁的线载改12kN/m。</x:v>
      </x:c>
      <x:c r="N176" s="6" t="str">
        <x:v>退台拓扑、材料和截面联合映射；荷载位置的独立状态保持</x:v>
      </x:c>
      <x:c r="O176" s="6" t="str">
        <x:v>最高层最右梁柱节点Ux/Uz及最左首层柱底My/Rz；所有值附位置、方向、单位、工况及当前轮次；澄清前不编造数值。</x:v>
      </x:c>
      <x:c r="P176" s="6" t="str">
        <x:v>目标为上层保留两跨中的第二跨；不存在第三跨不生成；其他梁荷载不变；下层24kN保持；上层边梁线载修改不涉及下层。</x:v>
      </x:c>
      <x:c r="Q176" s="19" t="str">
        <x:v>新增</x:v>
      </x:c>
      <x:c r="R176" s="6" t="str">
        <x:v>无</x:v>
      </x:c>
      <x:c r="S176" s="6" t="str">
        <x:v>无</x:v>
      </x:c>
      <x:c r="T176" s="6" t="str">
        <x:v>新增交互场景；独立起始模型来源另见M-INT-075，不把同基础模型计为旧交互题沿用。该题已有独立物理改动，不与其他任务共享模型。</x:v>
      </x:c>
      <x:c r="U17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6" s="6" t="str">
        <x:v>基础工具；逐轮状态与目标/非目标差异评测待实现</x:v>
      </x:c>
      <x:c r="W176" s="6" t="str">
        <x:v>规划，待编题与验证</x:v>
      </x:c>
      <x:c r="X176" s="6" t="str">
        <x:v>OpenSees</x:v>
      </x:c>
      <x:c r="Y176" s="19" t="str">
        <x:v>OpenSees</x:v>
      </x:c>
      <x:c r="Z176" s="6" t="str">
        <x:v>2D平面混凝土框架的非规则拓扑中的指定构件更新，重点是退台拓扑、材料和截面联合映射，用显式杆系模型核对状态与响应。</x:v>
      </x:c>
      <x:c r="AA17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6" s="6" t="str">
        <x:v>待逐题验证</x:v>
      </x:c>
      <x:c r="AC176" s="6" t="str">
        <x:v>未逐题验收；前置检查项：基础工具，并核对非规则拓扑中的指定构件更新后的模型更新和结果定位；不把一般OpenSees支持等同于当前StructureClaw已实现。</x:v>
      </x:c>
      <x:c r="AD17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6" s="6" t="str">
        <x:v>OPS；COMMON</x:v>
      </x:c>
    </x:row>
    <x:row r="177" ht="67.5" customHeight="1">
      <x:c r="A177" s="14" t="str">
        <x:v>INT-076</x:v>
      </x:c>
      <x:c r="B177" s="11" t="str">
        <x:v>交互鲁棒性</x:v>
      </x:c>
      <x:c r="C177" s="18" t="str">
        <x:v>M-INT-076</x:v>
      </x:c>
      <x:c r="D177" s="11" t="str">
        <x:v>两个受荷宽度补齐并确认</x:v>
      </x:c>
      <x:c r="E177" s="11" t="str">
        <x:v>平面混凝土框架</x:v>
      </x:c>
      <x:c r="F177" s="18" t="str">
        <x:v>2D</x:v>
      </x:c>
      <x:c r="G177" s="11" t="str">
        <x:v>折算参数澄清</x:v>
      </x:c>
      <x:c r="H177" s="18" t="str">
        <x:v>L2</x:v>
      </x:c>
      <x:c r="I177" s="11" t="str">
        <x:v>左右梁受荷宽不同，不能共用单一换算系数</x:v>
      </x:c>
      <x:c r="J177" s="18" t="str">
        <x:v>英文</x:v>
      </x:c>
      <x:c r="K177" s="11" t="str">
        <x:v>文本2轮＋完整属性附件（仅暂缺项除外）</x:v>
      </x:c>
      <x:c r="L177" s="22" t="n">
        <x:v>2</x:v>
      </x:c>
      <x:c r="M177" s="11" t="str">
        <x:v>T1所用独立模型为M-INT-076（左右受荷宽不同且外柱变截面的框架）。T1给M-INT-076左宽4m、右宽缺失，其余完整；T2补右宽6m，面载仍10kN/m²。</x:v>
      </x:c>
      <x:c r="N177" s="11" t="str">
        <x:v>每跨独立折算且不可重复加面载；截面分组的独立状态保持</x:v>
      </x:c>
      <x:c r="O177" s="11" t="str">
        <x:v>最高层最右梁柱节点Ux/Uz及最左首层柱底My/Rz；所有值附位置、方向、单位、工况及当前轮次；澄清前不编造数值。</x:v>
      </x:c>
      <x:c r="P177" s="11" t="str">
        <x:v>左梁40、右梁60kN/m；不重复面载；两层应用各自相同左右规则；两层外柱分组保持，补右侧受荷宽不改属性；若已有信息可唯一推得缺项，接受说明依据后直接完成，否则再澄清。</x:v>
      </x:c>
      <x:c r="Q177" s="18" t="str">
        <x:v>新增</x:v>
      </x:c>
      <x:c r="R177" s="11" t="str">
        <x:v>无</x:v>
      </x:c>
      <x:c r="S177" s="11" t="str">
        <x:v>无</x:v>
      </x:c>
      <x:c r="T177" s="11" t="str">
        <x:v>新增交互场景；独立起始模型来源另见M-INT-076，不把同基础模型计为旧交互题沿用。该题已有独立物理改动，不与其他任务共享模型。</x:v>
      </x:c>
      <x:c r="U17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7" s="11" t="str">
        <x:v>基础工具；逐轮状态与目标/非目标差异评测待实现</x:v>
      </x:c>
      <x:c r="W177" s="11" t="str">
        <x:v>规划，待编题与验证</x:v>
      </x:c>
      <x:c r="X177" s="11" t="str">
        <x:v>OpenSees</x:v>
      </x:c>
      <x:c r="Y177" s="18" t="str">
        <x:v>OpenSees</x:v>
      </x:c>
      <x:c r="Z177" s="11" t="str">
        <x:v>2D平面混凝土框架的折算参数澄清，重点是每跨独立折算且不可重复加面载，用显式杆系模型核对状态与响应。</x:v>
      </x:c>
      <x:c r="AA17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7" s="11" t="str">
        <x:v>待逐题验证</x:v>
      </x:c>
      <x:c r="AC177" s="11" t="str">
        <x:v>未逐题验收；前置检查项：基础工具，并核对折算参数澄清后的模型更新和结果定位；不把一般OpenSees支持等同于当前StructureClaw已实现。</x:v>
      </x:c>
      <x:c r="AD177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7" s="11" t="str">
        <x:v>OPS；COMMON</x:v>
      </x:c>
    </x:row>
    <x:row r="178" ht="67.5" customHeight="1">
      <x:c r="A178" s="15" t="str">
        <x:v>INT-077</x:v>
      </x:c>
      <x:c r="B178" s="6" t="str">
        <x:v>交互鲁棒性</x:v>
      </x:c>
      <x:c r="C178" s="19" t="str">
        <x:v>M-INT-077</x:v>
      </x:c>
      <x:c r="D178" s="6" t="str">
        <x:v>下层柱截面与顶梁分步更新</x:v>
      </x:c>
      <x:c r="E178" s="6" t="str">
        <x:v>平面混凝土框架</x:v>
      </x:c>
      <x:c r="F178" s="19" t="str">
        <x:v>2D</x:v>
      </x:c>
      <x:c r="G178" s="6" t="str">
        <x:v>跨分组连续更新</x:v>
      </x:c>
      <x:c r="H178" s="19" t="str">
        <x:v>L3</x:v>
      </x:c>
      <x:c r="I178" s="6" t="str">
        <x:v>楼层和构件角色两套分组要保持独立</x:v>
      </x:c>
      <x:c r="J178" s="19" t="str">
        <x:v>中文</x:v>
      </x:c>
      <x:c r="K178" s="6" t="str">
        <x:v>文本3轮＋完整属性附件（仅暂缺项除外）</x:v>
      </x:c>
      <x:c r="L178" s="23" t="n">
        <x:v>3</x:v>
      </x:c>
      <x:c r="M178" s="6" t="str">
        <x:v>T1所用独立模型为M-INT-077（变截面框架顶层左跨偏载）。T1建立M-INT-077；T2下层柱改附件650×650mm记录；T3仅顶层梁改附件B4。</x:v>
      </x:c>
      <x:c r="N178" s="6" t="str">
        <x:v>楼层与构件组属性同步映射；荷载位置的独立状态保持</x:v>
      </x:c>
      <x:c r="O178" s="6" t="str">
        <x:v>最高层最右梁柱节点Ux/Uz及最左首层柱底My/Rz；所有值附位置、方向、单位、工况及当前轮次；澄清前不编造数值。</x:v>
      </x:c>
      <x:c r="P178" s="6" t="str">
        <x:v>上层柱仍500×500；下层梁不跟随B4；几何和荷载不变；顶层15kN点力不随下柱或顶梁截面更新消失。</x:v>
      </x:c>
      <x:c r="Q178" s="19" t="str">
        <x:v>新增</x:v>
      </x:c>
      <x:c r="R178" s="6" t="str">
        <x:v>无</x:v>
      </x:c>
      <x:c r="S178" s="6" t="str">
        <x:v>无</x:v>
      </x:c>
      <x:c r="T178" s="6" t="str">
        <x:v>新增交互场景；独立起始模型来源另见M-INT-077，不把同基础模型计为旧交互题沿用。该题已有独立物理改动，不与其他任务共享模型。</x:v>
      </x:c>
      <x:c r="U17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8" s="6" t="str">
        <x:v>基础工具；逐轮状态与目标/非目标差异评测待实现</x:v>
      </x:c>
      <x:c r="W178" s="6" t="str">
        <x:v>规划，待编题与验证</x:v>
      </x:c>
      <x:c r="X178" s="6" t="str">
        <x:v>OpenSees</x:v>
      </x:c>
      <x:c r="Y178" s="19" t="str">
        <x:v>OpenSees</x:v>
      </x:c>
      <x:c r="Z178" s="6" t="str">
        <x:v>2D平面混凝土框架的跨分组连续更新，重点是楼层与构件组属性同步映射，用显式杆系模型核对状态与响应。</x:v>
      </x:c>
      <x:c r="AA17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8" s="6" t="str">
        <x:v>待逐题验证</x:v>
      </x:c>
      <x:c r="AC178" s="6" t="str">
        <x:v>未逐题验收；前置检查项：基础工具，并核对跨分组连续更新后的模型更新和结果定位；不把一般OpenSees支持等同于当前StructureClaw已实现。</x:v>
      </x:c>
      <x:c r="AD17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7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8" s="6" t="str">
        <x:v>OPS；COMMON</x:v>
      </x:c>
    </x:row>
    <x:row r="179" ht="81" customHeight="1">
      <x:c r="A179" s="14" t="str">
        <x:v>INT-078</x:v>
      </x:c>
      <x:c r="B179" s="11" t="str">
        <x:v>交互鲁棒性</x:v>
      </x:c>
      <x:c r="C179" s="18" t="str">
        <x:v>M-INT-078</x:v>
      </x:c>
      <x:c r="D179" s="11" t="str">
        <x:v>反向侧力工况替换</x:v>
      </x:c>
      <x:c r="E179" s="11" t="str">
        <x:v>平面混凝土框架</x:v>
      </x:c>
      <x:c r="F179" s="18" t="str">
        <x:v>2D</x:v>
      </x:c>
      <x:c r="G179" s="11" t="str">
        <x:v>带符号工况更新</x:v>
      </x:c>
      <x:c r="H179" s="18" t="str">
        <x:v>L3</x:v>
      </x:c>
      <x:c r="I179" s="11" t="str">
        <x:v>正负侧力分开存储且组合引用不能串用</x:v>
      </x:c>
      <x:c r="J179" s="18" t="str">
        <x:v>英文</x:v>
      </x:c>
      <x:c r="K179" s="11" t="str">
        <x:v>文本2轮＋完整属性附件（仅暂缺项除外）</x:v>
      </x:c>
      <x:c r="L179" s="22" t="n">
        <x:v>2</x:v>
      </x:c>
      <x:c r="M179" s="11" t="str">
        <x:v>T1所用独立模型为M-INT-078（正反侧力框架中层梁局部附加恒载）。T1建立M-INT-078；T2仅W-各层侧力强度增加20%，方向仍负，D与W+保持。</x:v>
      </x:c>
      <x:c r="N179" s="11" t="str">
        <x:v>正反向工况不能被绝对值化；荷载分布的独立状态保持</x:v>
      </x:c>
      <x:c r="O179" s="11" t="str">
        <x:v>最高层最右梁柱节点Ux/Uz及最左首层柱底My/Rz；所有值附位置、方向、单位、工况及当前轮次；澄清前不编造数值。</x:v>
      </x:c>
      <x:c r="P179" s="11" t="str">
        <x:v>W-数值乘1.2但不改正；三个组合引用正确；不得覆盖W+或重力；D局部附加线载不随W-放大改变或反号。</x:v>
      </x:c>
      <x:c r="Q179" s="18" t="str">
        <x:v>新增</x:v>
      </x:c>
      <x:c r="R179" s="11" t="str">
        <x:v>无</x:v>
      </x:c>
      <x:c r="S179" s="11" t="str">
        <x:v>无</x:v>
      </x:c>
      <x:c r="T179" s="11" t="str">
        <x:v>新增交互场景；独立起始模型来源另见M-INT-078，不把同基础模型计为旧交互题沿用。该题已有独立物理改动，不与其他任务共享模型。</x:v>
      </x:c>
      <x:c r="U17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79" s="11" t="str">
        <x:v>多组合执行契约需验证；逐轮状态与目标/非目标差异评测待实现</x:v>
      </x:c>
      <x:c r="W179" s="11" t="str">
        <x:v>规划，待编题与验证</x:v>
      </x:c>
      <x:c r="X179" s="11" t="str">
        <x:v>OpenSees</x:v>
      </x:c>
      <x:c r="Y179" s="18" t="str">
        <x:v>OpenSees</x:v>
      </x:c>
      <x:c r="Z179" s="11" t="str">
        <x:v>2D平面混凝土框架的带符号工况更新，重点是正反向工况不能被绝对值化，用显式杆系模型核对状态与响应。</x:v>
      </x:c>
      <x:c r="AA17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79" s="11" t="str">
        <x:v>待逐题验证</x:v>
      </x:c>
      <x:c r="AC179" s="11" t="str">
        <x:v>未逐题验收；前置检查项：多组合执行契约需验证，并核对带符号工况更新后的模型更新和结果定位；不把一般OpenSees支持等同于当前StructureClaw已实现。</x:v>
      </x:c>
      <x:c r="AD179" s="11" t="str">
        <x:v>一阶线弹性静力；自重关闭；不自动施加刚性楼板/刚域、默认附加载或自动规范组合；严格保留题定约束、材料/截面完整属性、局部轴、荷载坐标与长度基准；单位逐字段明确。 保留独立原始工况及题定组合系数，修改组合不得覆盖原工况；各轮只执行明确修改，未被修改的字段保持；澄清内容按该轮生效。</x:v>
      </x:c>
      <x:c r="AE17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梁柱节点Ux/Uz及最左首层柱底My/Rz。</x:v>
      </x:c>
      <x:c r="AF179" s="11" t="str">
        <x:v>OPS；COMMON</x:v>
      </x:c>
    </x:row>
    <x:row r="180" ht="94.5" customHeight="1">
      <x:c r="A180" s="15" t="str">
        <x:v>INT-079</x:v>
      </x:c>
      <x:c r="B180" s="6" t="str">
        <x:v>交互鲁棒性</x:v>
      </x:c>
      <x:c r="C180" s="19" t="str">
        <x:v>M-INT-079</x:v>
      </x:c>
      <x:c r="D180" s="6" t="str">
        <x:v>空间框架只缺Y向跨度</x:v>
      </x:c>
      <x:c r="E180" s="6" t="str">
        <x:v>空间框架</x:v>
      </x:c>
      <x:c r="F180" s="19" t="str">
        <x:v>3D</x:v>
      </x:c>
      <x:c r="G180" s="6" t="str">
        <x:v>空间几何补全</x:v>
      </x:c>
      <x:c r="H180" s="19" t="str">
        <x:v>L2</x:v>
      </x:c>
      <x:c r="I180" s="6" t="str">
        <x:v>已声明3D时缺少一个方向尺寸须补齐</x:v>
      </x:c>
      <x:c r="J180" s="19" t="str">
        <x:v>中文</x:v>
      </x:c>
      <x:c r="K180" s="6" t="str">
        <x:v>文本2轮＋完整属性附件（仅暂缺项除外）</x:v>
      </x:c>
      <x:c r="L180" s="23" t="n">
        <x:v>2</x:v>
      </x:c>
      <x:c r="M180" s="6" t="str">
        <x:v>T1所用独立模型为M-INT-079（一个角柱铰脚的双向空间框架）。T1给M-INT-079的X向6m及两层高与角柱铰脚，但Y向一跨长度空缺；T2确认Y=5m。</x:v>
      </x:c>
      <x:c r="N180" s="6" t="str">
        <x:v>两个水平轴与真实空间连接；边界的独立状态保持</x:v>
      </x:c>
      <x:c r="O180" s="6" t="str">
        <x:v>最高层最右且Y最大梁柱节点Ux/Uz/Uy及最左首层柱底My/Rz；所有值附位置、方向、单位、工况及当前轮次；澄清前不编造数值。</x:v>
      </x:c>
      <x:c r="P180" s="6" t="str">
        <x:v>保留3D，不降为2D；两层各3.6m、楼面作用与双向连梁完整；面载只传X梁，Y梁不重复加载；补Y跨后该角铰脚仍保留，其他三柱脚固定；若已有信息可唯一推得缺项，接受说明依据后直接完成，否则再澄清。</x:v>
      </x:c>
      <x:c r="Q180" s="19" t="str">
        <x:v>新增</x:v>
      </x:c>
      <x:c r="R180" s="6" t="str">
        <x:v>无</x:v>
      </x:c>
      <x:c r="S180" s="6" t="str">
        <x:v>无</x:v>
      </x:c>
      <x:c r="T180" s="6" t="str">
        <x:v>新增交互场景；独立起始模型来源另见M-INT-079，不把同基础模型计为旧交互题沿用。该题已有独立物理改动，不与其他任务共享模型。</x:v>
      </x:c>
      <x:c r="U180" s="6" t="str">
        <x:v>每个可计算轮次由独立复核者在PKPM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80" s="6" t="str">
        <x:v>基础工具；空间铰脚约束输入需验证；逐轮状态与目标/非目标差异评测待实现</x:v>
      </x:c>
      <x:c r="W180" s="6" t="str">
        <x:v>规划，待编题与验证</x:v>
      </x:c>
      <x:c r="X180" s="6" t="str">
        <x:v>OpenSees（显式杆系参考）；YJK、PKPM（原生建筑建模方向，须逐项能力验收）</x:v>
      </x:c>
      <x:c r="Y180" s="19" t="str">
        <x:v>PKPM</x:v>
      </x:c>
      <x:c r="Z180" s="6" t="str">
        <x:v>建筑空间框架的缺跨澄清后建模；单个角柱铰脚需按原生支座逐点核对</x:v>
      </x:c>
      <x:c r="AA180" s="6" t="str">
        <x:v>软件指定题，必须实际调用PKPM完成每个可计算模型状态并取得当次结果；禁止用OpenSees结果冒充。仅显示设置/启动窗口不算完成；纯查询或单位变更可复用与未变模型一致的已验证结果。</x:v>
      </x:c>
      <x:c r="AB180" s="6" t="str">
        <x:v>存在已知接口缺口</x:v>
      </x:c>
      <x:c r="AC180" s="6" t="str">
        <x:v>面载必须只传X梁，现接口仅支持整层恒活面载，不能直接证明这条荷载路径；需验证单角柱铰脚映射；现接口对关闭自重、无刚性楼板及完整弹性/截面属性的逐字段映射未证明，须显式设置并核验，禁止静默采用软件默认。PKPM现结果接口缺节点反力；本题Rz要求保留，须补原生反力结果读取路径并独立校核，不能删除目标项或用OpenSees反力冒充。</x:v>
      </x:c>
      <x:c r="AD180" s="6" t="str">
        <x:v>一阶线弹性静力；自重关闭；不自动施加刚性楼板/刚域、默认附加载或自动规范组合；严格保留题定约束、材料/截面完整属性、局部轴、荷载坐标与长度基准；单位逐字段明确。 楼面面载仅按相邻Y半跨受荷宽度传给X梁，Y梁不重复加载；保留三维六自由度/轴力单元各自约束和题定局部轴；各轮只执行明确修改，未被修改的字段保持；澄清内容按该轮生效。</x:v>
      </x:c>
      <x:c r="AE18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保存PKPM原生工程及可复查模型导出/参数检查记录；模型改变后的新run须绑定更新后的工程，截屏只作辅助。</x:v>
      </x:c>
      <x:c r="AF180" s="6" t="str">
        <x:v>PKPM；OPS；COMMON</x:v>
      </x:c>
    </x:row>
    <x:row r="181" ht="94.5" customHeight="1">
      <x:c r="A181" s="14" t="str">
        <x:v>INT-080</x:v>
      </x:c>
      <x:c r="B181" s="11" t="str">
        <x:v>交互鲁棒性</x:v>
      </x:c>
      <x:c r="C181" s="18" t="str">
        <x:v>M-INT-080</x:v>
      </x:c>
      <x:c r="D181" s="11" t="str">
        <x:v>空间框架二层面载缺项补全</x:v>
      </x:c>
      <x:c r="E181" s="11" t="str">
        <x:v>空间框架</x:v>
      </x:c>
      <x:c r="F181" s="18" t="str">
        <x:v>3D</x:v>
      </x:c>
      <x:c r="G181" s="11" t="str">
        <x:v>分层荷载缺项澄清</x:v>
      </x:c>
      <x:c r="H181" s="18" t="str">
        <x:v>L2</x:v>
      </x:c>
      <x:c r="I181" s="11" t="str">
        <x:v>空间几何及分配规则完整，只缺二层面载强度这一必要字段</x:v>
      </x:c>
      <x:c r="J181" s="18" t="str">
        <x:v>英文</x:v>
      </x:c>
      <x:c r="K181" s="11" t="str">
        <x:v>文本2轮＋完整属性附件（仅暂缺项除外）</x:v>
      </x:c>
      <x:c r="L181" s="22" t="n">
        <x:v>2</x:v>
      </x:c>
      <x:c r="M181" s="11" t="str">
        <x:v>T1所用独立模型为M-INT-080（X梁与Y梁不同截面的空间框架）。T1给M-INT-080完整几何，一层面载8kN/m²，二层荷载强度空缺；T2补二层8kN/m²。按共通规则仅X梁承接面载。</x:v>
      </x:c>
      <x:c r="N181" s="11" t="str">
        <x:v>X/Y跨数不同及楼面作用；截面分组的独立状态保持</x:v>
      </x:c>
      <x:c r="O181" s="11" t="str">
        <x:v>最高层最右且Y最大梁柱节点Ux/Uz/Uy及最左首层柱底My/Rz；所有值附位置、方向、单位、工况及当前轮次；澄清前不编造数值。</x:v>
      </x:c>
      <x:c r="P181" s="11" t="str">
        <x:v>仅追问二层强度，不重问可推得的受荷宽；最终两层均8kN/m²，X梁按相邻Y半跨宽度折算，Y梁不重复加载；X/Y梁不同截面保持，面载按相邻Y半跨宽度只传X梁；若已有信息可唯一推得缺项，接受说明依据后直接完成，否则再澄清。</x:v>
      </x:c>
      <x:c r="Q181" s="18" t="str">
        <x:v>新增</x:v>
      </x:c>
      <x:c r="R181" s="11" t="str">
        <x:v>无</x:v>
      </x:c>
      <x:c r="S181" s="11" t="str">
        <x:v>无</x:v>
      </x:c>
      <x:c r="T181" s="11" t="str">
        <x:v>新增交互场景；独立起始模型来源另见M-INT-080，不把同基础模型计为旧交互题沿用。该题已有独立物理改动，不与其他任务共享模型。</x:v>
      </x:c>
      <x:c r="U181" s="11" t="str">
        <x:v>每个可计算轮次由独立复核者在PKPM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81" s="11" t="str">
        <x:v>按本题拟定 PKPM 独立重算并核验；逐轮状态与目标/非目标差异评测待实现</x:v>
      </x:c>
      <x:c r="W181" s="11" t="str">
        <x:v>规划，待编题与验证</x:v>
      </x:c>
      <x:c r="X181" s="11" t="str">
        <x:v>OpenSees（显式杆系参考）；YJK、PKPM（原生建筑建模方向，须逐项能力验收）</x:v>
      </x:c>
      <x:c r="Y181" s="18" t="str">
        <x:v>PKPM</x:v>
      </x:c>
      <x:c r="Z181" s="11" t="str">
        <x:v>楼层荷载补齐和X/Y梁分组属于建筑模型录入与更新；PKPM原生工程可核对梁组和各层荷载</x:v>
      </x:c>
      <x:c r="AA181" s="11" t="str">
        <x:v>软件指定题，必须实际调用PKPM完成每个可计算模型状态并取得当次结果；禁止用OpenSees结果冒充。仅显示设置/启动窗口不算完成；纯查询或单位变更可复用与未变模型一致的已验证结果。</x:v>
      </x:c>
      <x:c r="AB181" s="11" t="str">
        <x:v>存在已知接口缺口</x:v>
      </x:c>
      <x:c r="AC181" s="11" t="str">
        <x:v>现接口仅映射整层恒活面载，需补仅X梁承接面载的显式杆件荷载并验证BX/BY完整属性；现接口对关闭自重、无刚性楼板及完整弹性/截面属性的逐字段映射未证明，须显式设置并核验，禁止静默采用软件默认。PKPM现结果接口缺节点反力；本题Rz要求保留，须补原生反力结果读取路径并独立校核，不能删除目标项或用OpenSees反力冒充。</x:v>
      </x:c>
      <x:c r="AD181" s="11" t="str">
        <x:v>一阶线弹性静力；自重关闭；不自动施加刚性楼板/刚域、默认附加载或自动规范组合；严格保留题定约束、材料/截面完整属性、局部轴、荷载坐标与长度基准；单位逐字段明确。 楼面面载仅按相邻Y半跨受荷宽度传给X梁，Y梁不重复加载；保留三维六自由度/轴力单元各自约束和题定局部轴；各轮只执行明确修改，未被修改的字段保持；澄清内容按该轮生效。</x:v>
      </x:c>
      <x:c r="AE18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保存PKPM原生工程及可复查模型导出/参数检查记录；模型改变后的新run须绑定更新后的工程，截屏只作辅助。</x:v>
      </x:c>
      <x:c r="AF181" s="11" t="str">
        <x:v>PKPM；OPS；COMMON</x:v>
      </x:c>
    </x:row>
    <x:row r="182" ht="94.5" customHeight="1">
      <x:c r="A182" s="15" t="str">
        <x:v>INT-081</x:v>
      </x:c>
      <x:c r="B182" s="6" t="str">
        <x:v>交互鲁棒性</x:v>
      </x:c>
      <x:c r="C182" s="19" t="str">
        <x:v>M-INT-081</x:v>
      </x:c>
      <x:c r="D182" s="6" t="str">
        <x:v>X与Y跨数文字冲突</x:v>
      </x:c>
      <x:c r="E182" s="6" t="str">
        <x:v>空间框架</x:v>
      </x:c>
      <x:c r="F182" s="19" t="str">
        <x:v>3D</x:v>
      </x:c>
      <x:c r="G182" s="6" t="str">
        <x:v>空间方向冲突澄清</x:v>
      </x:c>
      <x:c r="H182" s="19" t="str">
        <x:v>L3</x:v>
      </x:c>
      <x:c r="I182" s="6" t="str">
        <x:v>两个方向的跨数不同且三层模型规模较大</x:v>
      </x:c>
      <x:c r="J182" s="19" t="str">
        <x:v>中文</x:v>
      </x:c>
      <x:c r="K182" s="6" t="str">
        <x:v>文本2轮＋完整属性附件（仅暂缺项除外）</x:v>
      </x:c>
      <x:c r="L182" s="23" t="n">
        <x:v>2</x:v>
      </x:c>
      <x:c r="M182" s="6" t="str">
        <x:v>T1所用独立模型为M-INT-081（屋面两根外伸短梁的空间框架）。T1给M-INT-081坐标表X一跨Y两跨，文字相反；T2确认以坐标表为准。</x:v>
      </x:c>
      <x:c r="N182" s="6" t="str">
        <x:v>空间方向、楼层和构件映射；拓扑的独立状态保持</x:v>
      </x:c>
      <x:c r="O182" s="6" t="str">
        <x:v>最高层最右且Y最大梁柱节点Ux/Uz/Uy及最左首层柱底My/Rz；所有值附位置、方向、单位、工况及当前轮次；澄清前不编造数值。</x:v>
      </x:c>
      <x:c r="P182" s="6" t="str">
        <x:v>X=6、Y=5+5，三层3.3m；不交换荷载方向；节点坐标与连接统一；面载只传X梁，Y梁不重复加载；两屋面短梁和端力保持；X/Y跨数澄清不交换其方向。</x:v>
      </x:c>
      <x:c r="Q182" s="19" t="str">
        <x:v>新增</x:v>
      </x:c>
      <x:c r="R182" s="6" t="str">
        <x:v>无</x:v>
      </x:c>
      <x:c r="S182" s="6" t="str">
        <x:v>无</x:v>
      </x:c>
      <x:c r="T182" s="6" t="str">
        <x:v>新增交互场景；独立起始模型来源另见M-INT-081，不把同基础模型计为旧交互题沿用。该题已有独立物理改动，不与其他任务共享模型。</x:v>
      </x:c>
      <x:c r="U182" s="6" t="str">
        <x:v>每个可计算轮次由独立复核者在YJK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82" s="6" t="str">
        <x:v>按本题拟定 YJK 独立重算并核验；空间外挑梁连接需验证；逐轮状态与目标/非目标差异评测待实现</x:v>
      </x:c>
      <x:c r="W182" s="6" t="str">
        <x:v>规划，待编题与验证</x:v>
      </x:c>
      <x:c r="X182" s="6" t="str">
        <x:v>OpenSees（显式杆系参考）；YJK、PKPM（原生建筑建模方向，须逐项能力验收）</x:v>
      </x:c>
      <x:c r="Y182" s="19" t="str">
        <x:v>YJK</x:v>
      </x:c>
      <x:c r="Z182" s="6" t="str">
        <x:v>空间建筑柱网冲突澄清，保留屋面外挑短梁；采用YJK工程核对楼层、柱网及新增外挑</x:v>
      </x:c>
      <x:c r="AA182" s="6" t="str">
        <x:v>软件指定题，必须实际调用YJK完成每个可计算模型状态并取得当次结果；禁止用OpenSees结果冒充。仅显示设置/启动窗口不算完成；纯查询或单位变更可复用与未变模型一致的已验证结果。</x:v>
      </x:c>
      <x:c r="AB182" s="6" t="str">
        <x:v>存在已知接口缺口</x:v>
      </x:c>
      <x:c r="AC182" s="6" t="str">
        <x:v>当前YJK要求完整网格且梁柱各唯一截面，不能保留屋面外挑与自由端点载；须扩展任意梁柱拓扑和点载映射；现接口对关闭自重、无刚性楼板及完整弹性/截面属性的逐字段映射未证明，须显式设置并核验，禁止静默采用软件默认。节点反力虽有抽取路径，仍须验证本题节点/楼层ID对应与符号。</x:v>
      </x:c>
      <x:c r="AD182" s="6" t="str">
        <x:v>一阶线弹性静力；自重关闭；不自动施加刚性楼板/刚域、默认附加载或自动规范组合；严格保留题定约束、材料/截面完整属性、局部轴、荷载坐标与长度基准；单位逐字段明确。 楼面面载仅按相邻Y半跨受荷宽度传给X梁，Y梁不重复加载；保留三维六自由度/轴力单元各自约束和题定局部轴；各轮只执行明确修改，未被修改的字段保持；澄清内容按该轮生效。</x:v>
      </x:c>
      <x:c r="AE18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保存YJK原生工程及可复查模型导出/参数检查记录；模型改变后的新run须绑定更新后的工程，截屏只作辅助。</x:v>
      </x:c>
      <x:c r="AF182" s="6" t="str">
        <x:v>YJK；OPS；COMMON</x:v>
      </x:c>
    </x:row>
    <x:row r="183" ht="94.5" customHeight="1">
      <x:c r="A183" s="14" t="str">
        <x:v>INT-082</x:v>
      </x:c>
      <x:c r="B183" s="11" t="str">
        <x:v>交互鲁棒性</x:v>
      </x:c>
      <x:c r="C183" s="18" t="str">
        <x:v>M-INT-082</x:v>
      </x:c>
      <x:c r="D183" s="11" t="str">
        <x:v>只修改二层楼面面载</x:v>
      </x:c>
      <x:c r="E183" s="11" t="str">
        <x:v>空间框架</x:v>
      </x:c>
      <x:c r="F183" s="18" t="str">
        <x:v>3D</x:v>
      </x:c>
      <x:c r="G183" s="11" t="str">
        <x:v>楼层面载更新</x:v>
      </x:c>
      <x:c r="H183" s="18" t="str">
        <x:v>L3</x:v>
      </x:c>
      <x:c r="I183" s="11" t="str">
        <x:v>空间整层面载改变需保持分配规则与首层荷载</x:v>
      </x:c>
      <x:c r="J183" s="18" t="str">
        <x:v>英文</x:v>
      </x:c>
      <x:c r="K183" s="11" t="str">
        <x:v>文本2轮＋完整属性附件（仅暂缺项除外）</x:v>
      </x:c>
      <x:c r="L183" s="22" t="n">
        <x:v>2</x:v>
      </x:c>
      <x:c r="M183" s="11" t="str">
        <x:v>T1所用独立模型为M-INT-082（两条首层边柱不同材料的空间框架）。T1建立M-INT-082，按共通X梁受荷规则施加一层10、二层8kN/m²；T2二层面载改9kN/m²。</x:v>
      </x:c>
      <x:c r="N183" s="11" t="str">
        <x:v>不同楼层荷载及空间拓扑；材料分组的独立状态保持</x:v>
      </x:c>
      <x:c r="O183" s="11" t="str">
        <x:v>最高层最右且Y最大梁柱节点Ux/Uz/Uy及最左首层柱底My/Rz；所有值附位置、方向、单位、工况及当前轮次；澄清前不编造数值。</x:v>
      </x:c>
      <x:c r="P183" s="11" t="str">
        <x:v>首层10保持；仅二层折算后梁载更新且不累加；空间柱网不变；面载只传X梁，Y梁不重复加载；两指定首层角柱材性保持，二层面载修改不能全局替换材料。</x:v>
      </x:c>
      <x:c r="Q183" s="18" t="str">
        <x:v>新增</x:v>
      </x:c>
      <x:c r="R183" s="11" t="str">
        <x:v>无</x:v>
      </x:c>
      <x:c r="S183" s="11" t="str">
        <x:v>无</x:v>
      </x:c>
      <x:c r="T183" s="11" t="str">
        <x:v>新增交互场景；独立起始模型来源另见M-INT-082，不把同基础模型计为旧交互题沿用。该题已有独立物理改动，不与其他任务共享模型。</x:v>
      </x:c>
      <x:c r="U183" s="11" t="str">
        <x:v>每个可计算轮次由独立复核者在PKPM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83" s="11" t="str">
        <x:v>按本题拟定 PKPM 独立重算并核验；逐轮状态与目标/非目标差异评测待实现</x:v>
      </x:c>
      <x:c r="W183" s="11" t="str">
        <x:v>规划，待编题与验证</x:v>
      </x:c>
      <x:c r="X183" s="11" t="str">
        <x:v>OpenSees（显式杆系参考）；YJK、PKPM（原生建筑建模方向，须逐项能力验收）</x:v>
      </x:c>
      <x:c r="Y183" s="18" t="str">
        <x:v>PKPM</x:v>
      </x:c>
      <x:c r="Z183" s="11" t="str">
        <x:v>多层空间建筑中仅修改屋面面载，PKPM工程适合追踪自然层与标准层的荷载差异</x:v>
      </x:c>
      <x:c r="AA183" s="11" t="str">
        <x:v>软件指定题，必须实际调用PKPM完成每个可计算模型状态并取得当次结果；禁止用OpenSees结果冒充。仅显示设置/启动窗口不算完成；纯查询或单位变更可复用与未变模型一致的已验证结果。</x:v>
      </x:c>
      <x:c r="AB183" s="11" t="str">
        <x:v>存在已知接口缺口</x:v>
      </x:c>
      <x:c r="AC183" s="11" t="str">
        <x:v>首层两角柱与其余柱材料不同，现标准层复制拒绝跨层材料差异；仅X梁受荷规则也须补显式梁载映射；现接口对关闭自重、无刚性楼板及完整弹性/截面属性的逐字段映射未证明，须显式设置并核验，禁止静默采用软件默认。PKPM现结果接口缺节点反力；本题Rz要求保留，须补原生反力结果读取路径并独立校核，不能删除目标项或用OpenSees反力冒充。</x:v>
      </x:c>
      <x:c r="AD183" s="11" t="str">
        <x:v>一阶线弹性静力；自重关闭；不自动施加刚性楼板/刚域、默认附加载或自动规范组合；严格保留题定约束、材料/截面完整属性、局部轴、荷载坐标与长度基准；单位逐字段明确。 楼面面载仅按相邻Y半跨受荷宽度传给X梁，Y梁不重复加载；保留三维六自由度/轴力单元各自约束和题定局部轴；各轮只执行明确修改，未被修改的字段保持；澄清内容按该轮生效。</x:v>
      </x:c>
      <x:c r="AE18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保存PKPM原生工程及可复查模型导出/参数检查记录；模型改变后的新run须绑定更新后的工程，截屏只作辅助。</x:v>
      </x:c>
      <x:c r="AF183" s="11" t="str">
        <x:v>PKPM；OPS；COMMON</x:v>
      </x:c>
    </x:row>
    <x:row r="184" ht="94.5" customHeight="1">
      <x:c r="A184" s="15" t="str">
        <x:v>INT-083</x:v>
      </x:c>
      <x:c r="B184" s="6" t="str">
        <x:v>交互鲁棒性</x:v>
      </x:c>
      <x:c r="C184" s="19" t="str">
        <x:v>M-INT-083</x:v>
      </x:c>
      <x:c r="D184" s="6" t="str">
        <x:v>2D与3D冲突明确采用空间模型</x:v>
      </x:c>
      <x:c r="E184" s="6" t="str">
        <x:v>空间框架</x:v>
      </x:c>
      <x:c r="F184" s="19" t="str">
        <x:v>3D</x:v>
      </x:c>
      <x:c r="G184" s="6" t="str">
        <x:v>分析维度澄清</x:v>
      </x:c>
      <x:c r="H184" s="19" t="str">
        <x:v>L2</x:v>
      </x:c>
      <x:c r="I184" s="6" t="str">
        <x:v>完整Y向信息存在，但用户维度要求仍需消歧</x:v>
      </x:c>
      <x:c r="J184" s="19" t="str">
        <x:v>中文</x:v>
      </x:c>
      <x:c r="K184" s="6" t="str">
        <x:v>文本2轮＋完整属性附件（仅暂缺项除外）</x:v>
      </x:c>
      <x:c r="L184" s="23" t="n">
        <x:v>2</x:v>
      </x:c>
      <x:c r="M184" s="6" t="str">
        <x:v>T1所用独立模型为M-INT-083（角柱矩形截面的空间混凝土框架）。T1给M-INT-083完整空间几何，却同时要求2D平面与3D空间；T2确认采用3D。</x:v>
      </x:c>
      <x:c r="N184" s="6" t="str">
        <x:v>梁柱属性与空间楼面荷载；截面分组的独立状态保持</x:v>
      </x:c>
      <x:c r="O184" s="6" t="str">
        <x:v>最高层最右且Y最大梁柱节点Ux/Uz/Uy及最左首层柱底My/Rz；所有值附位置、方向、单位、工况及当前轮次；澄清前不编造数值。</x:v>
      </x:c>
      <x:c r="P184" s="6" t="str">
        <x:v>不做两个未要求模型或忽略Y向；C30梁柱属性及各层12kN/m²保持；面载只传X梁，Y梁不重复加载；角柱矩形强弱向保持，采用3D后不得转成等效正方形。</x:v>
      </x:c>
      <x:c r="Q184" s="19" t="str">
        <x:v>旧题改编</x:v>
      </x:c>
      <x:c r="R184" s="6" t="str">
        <x:v>robust-concrete-conflicting-dimension</x:v>
      </x:c>
      <x:c r="S184" s="6" t="str">
        <x:v>无</x:v>
      </x:c>
      <x:c r="T184" s="6" t="str">
        <x:v>旧题交互机制迁入M-INT-083；补齐属性、完成计算与更新不变量；本行轮次为新契约，旧数字不直接沿用。该题已有独立物理改动，不与其他任务共享模型。</x:v>
      </x:c>
      <x:c r="U184" s="6" t="str">
        <x:v>每个可计算轮次由独立复核者在PKPM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84" s="6" t="str">
        <x:v>按本题拟定 PKPM 独立重算并核验；空间局部轴需验证；逐轮状态与目标/非目标差异评测待实现</x:v>
      </x:c>
      <x:c r="W184" s="6" t="str">
        <x:v>规划，待编题与验证</x:v>
      </x:c>
      <x:c r="X184" s="6" t="str">
        <x:v>OpenSees（显式杆系参考）；YJK、PKPM（原生建筑建模方向，须逐项能力验收）</x:v>
      </x:c>
      <x:c r="Y184" s="19" t="str">
        <x:v>PKPM</x:v>
      </x:c>
      <x:c r="Z184" s="6" t="str">
        <x:v>混凝土建筑从维度冲突澄清到三维分析；原生工程可检查角柱矩形截面与强弱向</x:v>
      </x:c>
      <x:c r="AA184" s="6" t="str">
        <x:v>软件指定题，必须实际调用PKPM完成每个可计算模型状态并取得当次结果；禁止用OpenSees结果冒充。仅显示设置/启动窗口不算完成；纯查询或单位变更可复用与未变模型一致的已验证结果。</x:v>
      </x:c>
      <x:c r="AB184" s="6" t="str">
        <x:v>存在已知接口缺口</x:v>
      </x:c>
      <x:c r="AC184" s="6" t="str">
        <x:v>须验证单角柱矩形截面的局部轴及完整A/I/J保持；现楼面载映射不能直接保证仅X梁承载；现接口对关闭自重、无刚性楼板及完整弹性/截面属性的逐字段映射未证明，须显式设置并核验，禁止静默采用软件默认。PKPM现结果接口缺节点反力；本题Rz要求保留，须补原生反力结果读取路径并独立校核，不能删除目标项或用OpenSees反力冒充。</x:v>
      </x:c>
      <x:c r="AD184" s="6" t="str">
        <x:v>一阶线弹性静力；自重关闭；不自动施加刚性楼板/刚域、默认附加载或自动规范组合；严格保留题定约束、材料/截面完整属性、局部轴、荷载坐标与长度基准；单位逐字段明确。 楼面面载仅按相邻Y半跨受荷宽度传给X梁，Y梁不重复加载；保留三维六自由度/轴力单元各自约束和题定局部轴；各轮只执行明确修改，未被修改的字段保持；澄清内容按该轮生效。</x:v>
      </x:c>
      <x:c r="AE18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保存PKPM原生工程及可复查模型导出/参数检查记录；模型改变后的新run须绑定更新后的工程，截屏只作辅助。</x:v>
      </x:c>
      <x:c r="AF184" s="6" t="str">
        <x:v>PKPM；OPS；COMMON</x:v>
      </x:c>
    </x:row>
    <x:row r="185" ht="94.5" customHeight="1">
      <x:c r="A185" s="14" t="str">
        <x:v>INT-084</x:v>
      </x:c>
      <x:c r="B185" s="11" t="str">
        <x:v>交互鲁棒性</x:v>
      </x:c>
      <x:c r="C185" s="18" t="str">
        <x:v>M-INT-084</x:v>
      </x:c>
      <x:c r="D185" s="11" t="str">
        <x:v>空间框架材料更新保留分层载</x:v>
      </x:c>
      <x:c r="E185" s="11" t="str">
        <x:v>空间框架</x:v>
      </x:c>
      <x:c r="F185" s="18" t="str">
        <x:v>3D</x:v>
      </x:c>
      <x:c r="G185" s="11" t="str">
        <x:v>材料与空间分层保持</x:v>
      </x:c>
      <x:c r="H185" s="18" t="str">
        <x:v>L3</x:v>
      </x:c>
      <x:c r="I185" s="11" t="str">
        <x:v>全局材料更新不能覆盖不同楼层的荷载状态</x:v>
      </x:c>
      <x:c r="J185" s="18" t="str">
        <x:v>英文</x:v>
      </x:c>
      <x:c r="K185" s="11" t="str">
        <x:v>文本2轮＋完整属性附件（仅暂缺项除外）</x:v>
      </x:c>
      <x:c r="L185" s="22" t="n">
        <x:v>2</x:v>
      </x:c>
      <x:c r="M185" s="11" t="str">
        <x:v>T1所用独立模型为M-INT-084（屋面外缘设备点力的空间混凝土框架）。T1建立M-INT-084；T2所有梁柱换成附件C35完整弹性记录。</x:v>
      </x:c>
      <x:c r="N185" s="11" t="str">
        <x:v>材料截面与楼层荷载联合映射；荷载工况的独立状态保持</x:v>
      </x:c>
      <x:c r="O185" s="11" t="str">
        <x:v>最高层最右且Y最大梁柱节点Ux/Uz/Uy及最左首层柱底My/Rz；所有值附位置、方向、单位、工况及当前轮次；澄清前不编造数值。</x:v>
      </x:c>
      <x:c r="P185" s="11" t="str">
        <x:v>一层12、二层10kN/m²保持；截面及共通X梁受荷规则不变；以新材料重算；面载只传X梁，Y梁不重复加载；设备30kN与一层12/二层10kN/m²保持；材料更新不改变荷载。</x:v>
      </x:c>
      <x:c r="Q185" s="18" t="str">
        <x:v>新增</x:v>
      </x:c>
      <x:c r="R185" s="11" t="str">
        <x:v>无</x:v>
      </x:c>
      <x:c r="S185" s="11" t="str">
        <x:v>无</x:v>
      </x:c>
      <x:c r="T185" s="11" t="str">
        <x:v>新增交互场景；独立起始模型来源另见M-INT-084，不把同基础模型计为旧交互题沿用。该题已有独立物理改动，不与其他任务共享模型。</x:v>
      </x:c>
      <x:c r="U185" s="11" t="str">
        <x:v>每个可计算轮次由独立复核者在YJK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85" s="11" t="str">
        <x:v>按本题拟定 YJK 独立重算并核验；多工况执行契约需验证；逐轮状态与目标/非目标差异评测待实现</x:v>
      </x:c>
      <x:c r="W185" s="11" t="str">
        <x:v>规划，待编题与验证</x:v>
      </x:c>
      <x:c r="X185" s="11" t="str">
        <x:v>OpenSees（显式杆系参考）；YJK、PKPM（原生建筑建模方向，须逐项能力验收）</x:v>
      </x:c>
      <x:c r="Y185" s="18" t="str">
        <x:v>YJK</x:v>
      </x:c>
      <x:c r="Z185" s="11" t="str">
        <x:v>混凝土空间建筑整体换材并保持分层楼面载与设备载，适合核验原生工程材料修改和重算</x:v>
      </x:c>
      <x:c r="AA185" s="11" t="str">
        <x:v>软件指定题，必须实际调用YJK完成每个可计算模型状态并取得当次结果；禁止用OpenSees结果冒充。仅显示设置/启动窗口不算完成；纯查询或单位变更可复用与未变模型一致的已验证结果。</x:v>
      </x:c>
      <x:c r="AB185" s="11" t="str">
        <x:v>存在已知接口缺口</x:v>
      </x:c>
      <x:c r="AC185" s="11" t="str">
        <x:v>当前仅楼面恒活载，不能保留设备节点30kN及独立D_eq工况；须补节点载和自定义工况并验证仅X梁受荷；现接口对关闭自重、无刚性楼板及完整弹性/截面属性的逐字段映射未证明，须显式设置并核验，禁止静默采用软件默认。节点反力虽有抽取路径，仍须验证本题节点/楼层ID对应与符号。</x:v>
      </x:c>
      <x:c r="AD185" s="11" t="str">
        <x:v>一阶线弹性静力；自重关闭；不自动施加刚性楼板/刚域、默认附加载或自动规范组合；严格保留题定约束、材料/截面完整属性、局部轴、荷载坐标与长度基准；单位逐字段明确。 楼面面载仅按相邻Y半跨受荷宽度传给X梁，Y梁不重复加载；保留三维六自由度/轴力单元各自约束和题定局部轴；各轮只执行明确修改，未被修改的字段保持；澄清内容按该轮生效。</x:v>
      </x:c>
      <x:c r="AE18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保存YJK原生工程及可复查模型导出/参数检查记录；模型改变后的新run须绑定更新后的工程，截屏只作辅助。</x:v>
      </x:c>
      <x:c r="AF185" s="11" t="str">
        <x:v>YJK；OPS；COMMON</x:v>
      </x:c>
    </x:row>
    <x:row r="186" ht="67.5" customHeight="1">
      <x:c r="A186" s="15" t="str">
        <x:v>INT-085</x:v>
      </x:c>
      <x:c r="B186" s="6" t="str">
        <x:v>交互鲁棒性</x:v>
      </x:c>
      <x:c r="C186" s="19" t="str">
        <x:v>M-INT-085</x:v>
      </x:c>
      <x:c r="D186" s="6" t="str">
        <x:v>不等网格坐标单位确认</x:v>
      </x:c>
      <x:c r="E186" s="6" t="str">
        <x:v>空间框架</x:v>
      </x:c>
      <x:c r="F186" s="19" t="str">
        <x:v>3D</x:v>
      </x:c>
      <x:c r="G186" s="6" t="str">
        <x:v>空间坐标单位澄清</x:v>
      </x:c>
      <x:c r="H186" s="19" t="str">
        <x:v>L3</x:v>
      </x:c>
      <x:c r="I186" s="6" t="str">
        <x:v>非规则X/Y网格和层高需同一次正确换算</x:v>
      </x:c>
      <x:c r="J186" s="19" t="str">
        <x:v>中文</x:v>
      </x:c>
      <x:c r="K186" s="6" t="str">
        <x:v>文本2轮＋完整属性附件（仅暂缺项除外）</x:v>
      </x:c>
      <x:c r="L186" s="23" t="n">
        <x:v>2</x:v>
      </x:c>
      <x:c r="M186" s="6" t="str">
        <x:v>T1所用独立模型为M-INT-085（局部倾斜上层柱的非规则空间框架）。T1给M-INT-085节点表数值以4000/7000等列出但坐标单位漏写；T2确认坐标均mm，截面和力单位另按附件。</x:v>
      </x:c>
      <x:c r="N186" s="6" t="str">
        <x:v>非规则网格和不等层高；拓扑的独立状态保持</x:v>
      </x:c>
      <x:c r="O186" s="6" t="str">
        <x:v>最高层最右且Y最大梁柱节点Ux/Uz/Uy及最左首层柱底My/Rz；所有值附位置、方向、单位、工况及当前轮次；澄清前不编造数值。</x:v>
      </x:c>
      <x:c r="P186" s="6" t="str">
        <x:v>只坐标从mm转m；不可对荷载或已经SI的截面重复缩放；连接保持；坐标换算保留0.5m错位，不能竖直投影恢复规则柱网；若已有信息可唯一推得缺项，接受说明依据后直接完成，否则再澄清。</x:v>
      </x:c>
      <x:c r="Q186" s="19" t="str">
        <x:v>新增</x:v>
      </x:c>
      <x:c r="R186" s="6" t="str">
        <x:v>无</x:v>
      </x:c>
      <x:c r="S186" s="6" t="str">
        <x:v>无</x:v>
      </x:c>
      <x:c r="T186" s="6" t="str">
        <x:v>新增交互场景；独立起始模型来源另见M-INT-085，不把同基础模型计为旧交互题沿用。该题已有独立物理改动，不与其他任务共享模型。</x:v>
      </x:c>
      <x:c r="U18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86" s="6" t="str">
        <x:v>基础工具；空间斜柱局部轴需验证；逐轮状态与目标/非目标差异评测待实现</x:v>
      </x:c>
      <x:c r="W186" s="6" t="str">
        <x:v>规划，待编题与验证</x:v>
      </x:c>
      <x:c r="X186" s="6" t="str">
        <x:v>OpenSees（本题侧重显式杆系力学；商业软件不作执行要求）</x:v>
      </x:c>
      <x:c r="Y186" s="19" t="str">
        <x:v>OpenSees</x:v>
      </x:c>
      <x:c r="Z186" s="6" t="str">
        <x:v>毫米坐标澄清后保持上层斜柱及逐梁荷载，重点是空间杆系几何与局部轴</x:v>
      </x:c>
      <x:c r="AA18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86" s="6" t="str">
        <x:v>待逐题验证</x:v>
      </x:c>
      <x:c r="AC186" s="6" t="str">
        <x:v>未逐题验收；前置检查项：基础工具；空间斜柱局部轴需验证，并核对空间坐标单位澄清后的模型更新和结果定位；不把一般OpenSees支持等同于当前StructureClaw已实现。</x:v>
      </x:c>
      <x:c r="AD186" s="6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8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</x:v>
      </x:c>
      <x:c r="AF186" s="6" t="str">
        <x:v>OPS；COMMON</x:v>
      </x:c>
    </x:row>
    <x:row r="187" ht="94.5" customHeight="1">
      <x:c r="A187" s="14" t="str">
        <x:v>INT-086</x:v>
      </x:c>
      <x:c r="B187" s="11" t="str">
        <x:v>交互鲁棒性</x:v>
      </x:c>
      <x:c r="C187" s="18" t="str">
        <x:v>M-INT-086</x:v>
      </x:c>
      <x:c r="D187" s="11" t="str">
        <x:v>L形缺角区不是遗漏</x:v>
      </x:c>
      <x:c r="E187" s="11" t="str">
        <x:v>空间框架</x:v>
      </x:c>
      <x:c r="F187" s="18" t="str">
        <x:v>3D</x:v>
      </x:c>
      <x:c r="G187" s="11" t="str">
        <x:v>不规则空间拓扑直接执行</x:v>
      </x:c>
      <x:c r="H187" s="18" t="str">
        <x:v>L3</x:v>
      </x:c>
      <x:c r="I187" s="11" t="str">
        <x:v>空间缺角区域会同时影响杆系与荷载面域</x:v>
      </x:c>
      <x:c r="J187" s="18" t="str">
        <x:v>英文</x:v>
      </x:c>
      <x:c r="K187" s="11" t="str">
        <x:v>文本单轮＋完整属性附件（仅暂缺项除外）</x:v>
      </x:c>
      <x:c r="L187" s="22" t="n">
        <x:v>1</x:v>
      </x:c>
      <x:c r="M187" s="11" t="str">
        <x:v>T1所用独立模型为M-INT-086（L形缺角框架外缘偏置水平力）。T1完整给M-INT-086所有实际节点梁柱和楼面边界，注明东北角区不存在，直接分析。</x:v>
      </x:c>
      <x:c r="N187" s="11" t="str">
        <x:v>不能补齐缺失角区与虚构楼面；荷载分量的独立状态保持</x:v>
      </x:c>
      <x:c r="O187" s="11" t="str">
        <x:v>最高层最右且Y最大梁柱节点Ux/Uz/Uy及最左首层柱底My/Rz；所有值附位置、方向、单位、工况及当前轮次；澄清前不编造数值。</x:v>
      </x:c>
      <x:c r="P187" s="11" t="str">
        <x:v>不补成矩形楼面或新增角柱；只在实际区域分配荷载；结果对象对应真实杆件；外缘12kN保持，不能补齐缺角以追求对称。</x:v>
      </x:c>
      <x:c r="Q187" s="18" t="str">
        <x:v>新增</x:v>
      </x:c>
      <x:c r="R187" s="11" t="str">
        <x:v>无</x:v>
      </x:c>
      <x:c r="S187" s="11" t="str">
        <x:v>无</x:v>
      </x:c>
      <x:c r="T187" s="11" t="str">
        <x:v>新增交互场景；独立起始模型来源另见M-INT-086，不把同基础模型计为旧交互题沿用。该题已有独立物理改动，不与其他任务共享模型。</x:v>
      </x:c>
      <x:c r="U187" s="11" t="str">
        <x:v>每个可计算轮次由独立复核者在YJK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87" s="11" t="str">
        <x:v>不规则楼面荷载映射需验证；不规则楼面映射需验证；逐轮状态与目标/非目标差异评测待实现</x:v>
      </x:c>
      <x:c r="W187" s="11" t="str">
        <x:v>规划，待编题与验证</x:v>
      </x:c>
      <x:c r="X187" s="11" t="str">
        <x:v>OpenSees（显式杆系参考）；YJK、PKPM（原生建筑建模方向，须逐项能力验收）</x:v>
      </x:c>
      <x:c r="Y187" s="18" t="str">
        <x:v>YJK</x:v>
      </x:c>
      <x:c r="Z187" s="11" t="str">
        <x:v>L形建筑平面缺角应作为真实楼层边界保留，评测原生建筑建模与关键结果提取</x:v>
      </x:c>
      <x:c r="AA187" s="11" t="str">
        <x:v>软件指定题，必须实际调用YJK完成每个可计算模型状态并取得当次结果；禁止用OpenSees结果冒充。仅显示设置/启动窗口不算完成；纯查询或单位变更可复用与未变模型一致的已验证结果。</x:v>
      </x:c>
      <x:c r="AB187" s="11" t="str">
        <x:v>存在已知接口缺口</x:v>
      </x:c>
      <x:c r="AC187" s="11" t="str">
        <x:v>当前完整笛卡尔网格会拒绝L形缺角；须支持非矩形楼层拓扑、实际梁线载和偏置水平节点力；现接口对关闭自重、无刚性楼板及完整弹性/截面属性的逐字段映射未证明，须显式设置并核验，禁止静默采用软件默认。节点反力虽有抽取路径，仍须验证本题节点/楼层ID对应与符号。</x:v>
      </x:c>
      <x:c r="AD187" s="11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8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保存YJK原生工程及可复查模型导出/参数检查记录；模型改变后的新run须绑定更新后的工程，截屏只作辅助。</x:v>
      </x:c>
      <x:c r="AF187" s="11" t="str">
        <x:v>YJK；OPS；COMMON</x:v>
      </x:c>
    </x:row>
    <x:row r="188" ht="94.5" customHeight="1">
      <x:c r="A188" s="15" t="str">
        <x:v>INT-087</x:v>
      </x:c>
      <x:c r="B188" s="6" t="str">
        <x:v>交互鲁棒性</x:v>
      </x:c>
      <x:c r="C188" s="19" t="str">
        <x:v>M-INT-087</x:v>
      </x:c>
      <x:c r="D188" s="6" t="str">
        <x:v>上层退台边界更新</x:v>
      </x:c>
      <x:c r="E188" s="6" t="str">
        <x:v>空间框架</x:v>
      </x:c>
      <x:c r="F188" s="19" t="str">
        <x:v>3D</x:v>
      </x:c>
      <x:c r="G188" s="6" t="str">
        <x:v>空间拓扑与荷载区联动</x:v>
      </x:c>
      <x:c r="H188" s="19" t="str">
        <x:v>L3</x:v>
      </x:c>
      <x:c r="I188" s="6" t="str">
        <x:v>改变上层范围必须同步成员表与荷载作用区</x:v>
      </x:c>
      <x:c r="J188" s="19" t="str">
        <x:v>中文</x:v>
      </x:c>
      <x:c r="K188" s="6" t="str">
        <x:v>文本2轮＋完整属性附件（仅暂缺项除外）</x:v>
      </x:c>
      <x:c r="L188" s="23" t="n">
        <x:v>2</x:v>
      </x:c>
      <x:c r="M188" s="6" t="str">
        <x:v>T1所用独立模型为M-INT-087（退台空间框架下层边柱加强）。T1建立M-INT-087；T2按拟提供且编题前须独立核验的附件B更换上层一条边界及对应节点梁柱、楼面分配表。</x:v>
      </x:c>
      <x:c r="N188" s="6" t="str">
        <x:v>分层拓扑不同且楼面区域不同；截面分组的独立状态保持</x:v>
      </x:c>
      <x:c r="O188" s="6" t="str">
        <x:v>最高层最右且Y最大梁柱节点Ux/Uz/Uy及最左首层柱底My/Rz；所有值附位置、方向、单位、工况及当前轮次；澄清前不编造数值。</x:v>
      </x:c>
      <x:c r="P188" s="6" t="str">
        <x:v>下层保持；已移除上层杆件不得残留载荷；严格采用B而非规则网格补齐；上层边界更新不改变首层外边柱加强分组。</x:v>
      </x:c>
      <x:c r="Q188" s="19" t="str">
        <x:v>新增</x:v>
      </x:c>
      <x:c r="R188" s="6" t="str">
        <x:v>无</x:v>
      </x:c>
      <x:c r="S188" s="6" t="str">
        <x:v>无</x:v>
      </x:c>
      <x:c r="T188" s="6" t="str">
        <x:v>新增交互场景；独立起始模型来源另见M-INT-087，不把同基础模型计为旧交互题沿用。该题已有独立物理改动，不与其他任务共享模型。</x:v>
      </x:c>
      <x:c r="U188" s="6" t="str">
        <x:v>每个可计算轮次由独立复核者在PKPM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88" s="6" t="str">
        <x:v>不规则楼面荷载映射需验证；不规则楼面映射需验证；逐轮状态与目标/非目标差异评测待实现</x:v>
      </x:c>
      <x:c r="W188" s="6" t="str">
        <x:v>规划，待编题与验证</x:v>
      </x:c>
      <x:c r="X188" s="6" t="str">
        <x:v>OpenSees（显式杆系参考）；YJK、PKPM（原生建筑建模方向，须逐项能力验收）</x:v>
      </x:c>
      <x:c r="Y188" s="19" t="str">
        <x:v>PKPM</x:v>
      </x:c>
      <x:c r="Z188" s="6" t="str">
        <x:v>退台建筑按新上层边界更新但保持下层模型，适合评测原生楼层编辑及更新不变量</x:v>
      </x:c>
      <x:c r="AA188" s="6" t="str">
        <x:v>软件指定题，必须实际调用PKPM完成每个可计算模型状态并取得当次结果；禁止用OpenSees结果冒充。仅显示设置/启动窗口不算完成；纯查询或单位变更可复用与未变模型一致的已验证结果。</x:v>
      </x:c>
      <x:c r="AB188" s="6" t="str">
        <x:v>存在已知接口缺口</x:v>
      </x:c>
      <x:c r="AC188" s="6" t="str">
        <x:v>当前标准层复制要求各层相同节点/拓扑/截面材料，不能表达退台和首层加强；须扩展逐层建模及杆件线载；现接口对关闭自重、无刚性楼板及完整弹性/截面属性的逐字段映射未证明，须显式设置并核验，禁止静默采用软件默认。PKPM现结果接口缺节点反力；本题Rz要求保留，须补原生反力结果读取路径并独立校核，不能删除目标项或用OpenSees反力冒充。</x:v>
      </x:c>
      <x:c r="AD188" s="6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8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保存PKPM原生工程及可复查模型导出/参数检查记录；模型改变后的新run须绑定更新后的工程，截屏只作辅助。</x:v>
      </x:c>
      <x:c r="AF188" s="6" t="str">
        <x:v>PKPM；OPS；COMMON</x:v>
      </x:c>
    </x:row>
    <x:row r="189" ht="81" customHeight="1">
      <x:c r="A189" s="14" t="str">
        <x:v>INT-088</x:v>
      </x:c>
      <x:c r="B189" s="11" t="str">
        <x:v>交互鲁棒性</x:v>
      </x:c>
      <x:c r="C189" s="18" t="str">
        <x:v>M-INT-088</x:v>
      </x:c>
      <x:c r="D189" s="11" t="str">
        <x:v>X/Y侧力连续更新再撤一项</x:v>
      </x:c>
      <x:c r="E189" s="11" t="str">
        <x:v>空间框架</x:v>
      </x:c>
      <x:c r="F189" s="18" t="str">
        <x:v>3D</x:v>
      </x:c>
      <x:c r="G189" s="11" t="str">
        <x:v>多工况局部撤销</x:v>
      </x:c>
      <x:c r="H189" s="18" t="str">
        <x:v>L3</x:v>
      </x:c>
      <x:c r="I189" s="11" t="str">
        <x:v>多个方向及组合中需准确追踪更新历史</x:v>
      </x:c>
      <x:c r="J189" s="18" t="str">
        <x:v>英文</x:v>
      </x:c>
      <x:c r="K189" s="11" t="str">
        <x:v>文本4轮＋完整属性附件（仅暂缺项除外）</x:v>
      </x:c>
      <x:c r="L189" s="22" t="n">
        <x:v>4</x:v>
      </x:c>
      <x:c r="M189" s="11" t="str">
        <x:v>T1所用独立模型为M-INT-088（上下层梁刚度不同的双向侧载框架）。T1建立M-INT-088；T2仅X侧力组增20%；T3仅Y侧力组反向；T4撤销T3。</x:v>
      </x:c>
      <x:c r="N189" s="11" t="str">
        <x:v>两个水平分量及组合响应定位；截面分组的独立状态保持</x:v>
      </x:c>
      <x:c r="O189" s="11" t="str">
        <x:v>最高层最右且Y最大梁柱节点Ux/Uz/Uy及最左首层柱底My/Rz；所有值附位置、方向、单位、工况及当前轮次；澄清前不编造数值。</x:v>
      </x:c>
      <x:c r="P189" s="11" t="str">
        <x:v>最终X增20%、Y恢复原向；重力与三组合系数不变；各方向分开记录；上下层梁属性不随X/Y荷载编辑或撤销改变。</x:v>
      </x:c>
      <x:c r="Q189" s="18" t="str">
        <x:v>新增</x:v>
      </x:c>
      <x:c r="R189" s="11" t="str">
        <x:v>无</x:v>
      </x:c>
      <x:c r="S189" s="11" t="str">
        <x:v>无</x:v>
      </x:c>
      <x:c r="T189" s="11" t="str">
        <x:v>新增交互场景；独立起始模型来源另见M-INT-088，不把同基础模型计为旧交互题沿用。该题已有独立物理改动，不与其他任务共享模型。</x:v>
      </x:c>
      <x:c r="U18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89" s="11" t="str">
        <x:v>多组合执行契约需验证；逐轮状态与目标/非目标差异评测待实现</x:v>
      </x:c>
      <x:c r="W189" s="11" t="str">
        <x:v>规划，待编题与验证</x:v>
      </x:c>
      <x:c r="X189" s="11" t="str">
        <x:v>OpenSees（本题侧重显式杆系力学；商业软件不作执行要求）</x:v>
      </x:c>
      <x:c r="Y189" s="18" t="str">
        <x:v>OpenSees</x:v>
      </x:c>
      <x:c r="Z189" s="11" t="str">
        <x:v>X/Y节点力连续修改和精确撤销，重点是显式工况与组合状态</x:v>
      </x:c>
      <x:c r="AA18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89" s="11" t="str">
        <x:v>待逐题验证</x:v>
      </x:c>
      <x:c r="AC189" s="11" t="str">
        <x:v>未逐题验收；前置检查项：多组合执行契约需验证，并核对多工况局部撤销后的模型更新和结果定位；不把一般OpenSees支持等同于当前StructureClaw已实现。</x:v>
      </x:c>
      <x:c r="AD189" s="11" t="str">
        <x:v>一阶线弹性静力；自重关闭；不自动施加刚性楼板/刚域、默认附加载或自动规范组合；严格保留题定约束、材料/截面完整属性、局部轴、荷载坐标与长度基准；单位逐字段明确。 保留独立原始工况及题定组合系数，修改组合不得覆盖原工况；保留三维六自由度/轴力单元各自约束和题定局部轴；各轮只执行明确修改，未被修改的字段保持；澄清内容按该轮生效。</x:v>
      </x:c>
      <x:c r="AE18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</x:v>
      </x:c>
      <x:c r="AF189" s="11" t="str">
        <x:v>OPS；COMMON</x:v>
      </x:c>
    </x:row>
    <x:row r="190" ht="94.5" customHeight="1">
      <x:c r="A190" s="15" t="str">
        <x:v>INT-089</x:v>
      </x:c>
      <x:c r="B190" s="6" t="str">
        <x:v>交互鲁棒性</x:v>
      </x:c>
      <x:c r="C190" s="19" t="str">
        <x:v>M-INT-089</x:v>
      </x:c>
      <x:c r="D190" s="6" t="str">
        <x:v>角柱截面改动目标消歧</x:v>
      </x:c>
      <x:c r="E190" s="6" t="str">
        <x:v>空间框架</x:v>
      </x:c>
      <x:c r="F190" s="19" t="str">
        <x:v>3D</x:v>
      </x:c>
      <x:c r="G190" s="6" t="str">
        <x:v>空间构件组澄清</x:v>
      </x:c>
      <x:c r="H190" s="19" t="str">
        <x:v>L3</x:v>
      </x:c>
      <x:c r="I190" s="6" t="str">
        <x:v>边柱与角柱的几何集合不同，口语合称需澄清</x:v>
      </x:c>
      <x:c r="J190" s="19" t="str">
        <x:v>中文</x:v>
      </x:c>
      <x:c r="K190" s="6" t="str">
        <x:v>文本3轮＋完整属性附件（仅暂缺项除外）</x:v>
      </x:c>
      <x:c r="L190" s="23" t="n">
        <x:v>3</x:v>
      </x:c>
      <x:c r="M190" s="6" t="str">
        <x:v>T1所用独立模型为M-INT-089（角柱铰脚与柱组截面空间框架）。T1建立M-INT-089；T2要求周边柱都换C4但同时说角柱不动；T3确认仅边柱非角柱换C4。</x:v>
      </x:c>
      <x:c r="N190" s="6" t="str">
        <x:v>空间位置到构件组的映射；边界的独立状态保持</x:v>
      </x:c>
      <x:c r="O190" s="6" t="str">
        <x:v>最高层最右且Y最大梁柱节点Ux/Uz/Uy及最左首层柱底My/Rz；所有值附位置、方向、单位、工况及当前轮次；澄清前不编造数值。</x:v>
      </x:c>
      <x:c r="P190" s="6" t="str">
        <x:v>角柱/中柱不变；只边柱组更新；X/Y梁截面不变且不误选顶层边梁；两对角铰脚保持，边柱截面修改不改角柱约束。</x:v>
      </x:c>
      <x:c r="Q190" s="19" t="str">
        <x:v>新增</x:v>
      </x:c>
      <x:c r="R190" s="6" t="str">
        <x:v>无</x:v>
      </x:c>
      <x:c r="S190" s="6" t="str">
        <x:v>无</x:v>
      </x:c>
      <x:c r="T190" s="6" t="str">
        <x:v>新增交互场景；独立起始模型来源另见M-INT-089，不把同基础模型计为旧交互题沿用。该题已有独立物理改动，不与其他任务共享模型。</x:v>
      </x:c>
      <x:c r="U190" s="6" t="str">
        <x:v>每个可计算轮次由独立复核者在PKPM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90" s="6" t="str">
        <x:v>基础工具；空间铰脚约束输入需验证；逐轮状态与目标/非目标差异评测待实现</x:v>
      </x:c>
      <x:c r="W190" s="6" t="str">
        <x:v>规划，待编题与验证</x:v>
      </x:c>
      <x:c r="X190" s="6" t="str">
        <x:v>OpenSees（显式杆系参考）；YJK、PKPM（原生建筑建模方向，须逐项能力验收）</x:v>
      </x:c>
      <x:c r="Y190" s="19" t="str">
        <x:v>PKPM</x:v>
      </x:c>
      <x:c r="Z190" s="6" t="str">
        <x:v>角/边/中柱分组消歧后只修改边柱，原生建筑工程便于核查构件组和铰脚</x:v>
      </x:c>
      <x:c r="AA190" s="6" t="str">
        <x:v>软件指定题，必须实际调用PKPM完成每个可计算模型状态并取得当次结果；禁止用OpenSees结果冒充。仅显示设置/启动窗口不算完成；纯查询或单位变更可复用与未变模型一致的已验证结果。</x:v>
      </x:c>
      <x:c r="AB190" s="6" t="str">
        <x:v>存在已知接口缺口</x:v>
      </x:c>
      <x:c r="AC190" s="6" t="str">
        <x:v>须验证按平面位置选择边柱组而不改角柱/中柱；当前只支持楼面恒活载，题定各梁8kN/m需新增杆件荷载映射；现接口对关闭自重、无刚性楼板及完整弹性/截面属性的逐字段映射未证明，须显式设置并核验，禁止静默采用软件默认。PKPM现结果接口缺节点反力；本题Rz要求保留，须补原生反力结果读取路径并独立校核，不能删除目标项或用OpenSees反力冒充。</x:v>
      </x:c>
      <x:c r="AD190" s="6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9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保存PKPM原生工程及可复查模型导出/参数检查记录；模型改变后的新run须绑定更新后的工程，截屏只作辅助。</x:v>
      </x:c>
      <x:c r="AF190" s="6" t="str">
        <x:v>PKPM；OPS；COMMON</x:v>
      </x:c>
    </x:row>
    <x:row r="191" ht="67.5" customHeight="1">
      <x:c r="A191" s="14" t="str">
        <x:v>INT-090</x:v>
      </x:c>
      <x:c r="B191" s="11" t="str">
        <x:v>交互鲁棒性</x:v>
      </x:c>
      <x:c r="C191" s="18" t="str">
        <x:v>M-INT-090</x:v>
      </x:c>
      <x:c r="D191" s="11" t="str">
        <x:v>局部轴与全局荷载分开修改</x:v>
      </x:c>
      <x:c r="E191" s="11" t="str">
        <x:v>空间框架</x:v>
      </x:c>
      <x:c r="F191" s="18" t="str">
        <x:v>3D</x:v>
      </x:c>
      <x:c r="G191" s="11" t="str">
        <x:v>局部轴和全局向量更新</x:v>
      </x:c>
      <x:c r="H191" s="18" t="str">
        <x:v>L3</x:v>
      </x:c>
      <x:c r="I191" s="11" t="str">
        <x:v>局部截面旋转不应连带旋转全局荷载</x:v>
      </x:c>
      <x:c r="J191" s="18" t="str">
        <x:v>英文</x:v>
      </x:c>
      <x:c r="K191" s="11" t="str">
        <x:v>文本3轮＋完整属性附件（仅暂缺项除外）</x:v>
      </x:c>
      <x:c r="L191" s="22" t="n">
        <x:v>3</x:v>
      </x:c>
      <x:c r="M191" s="11" t="str">
        <x:v>T1所用独立模型为M-INT-090（局部轴旋转框架附加屋面扭矩）。T1建立M-INT-090；T2对首层(0,0)柱线的0～3.6m柱段撤销90°局部轴旋转；T3只将全局Y侧力组增10%。</x:v>
      </x:c>
      <x:c r="N191" s="11" t="str">
        <x:v>局部轴与强弱向刚度不能混淆；荷载类型的独立状态保持</x:v>
      </x:c>
      <x:c r="O191" s="11" t="str">
        <x:v>最高层最右且Y最大梁柱节点Ux/Uz/Uy及最左首层柱底My/Rz；所有值附位置、方向、单位、工况及当前轮次；澄清前不编造数值。</x:v>
      </x:c>
      <x:c r="P191" s="11" t="str">
        <x:v>只首层(0,0)柱段局部轴改变；其他柱方向、X侧力不变；荷载仍按全局坐标；8kN·m全局扭矩不随柱局部轴恢复而转向。</x:v>
      </x:c>
      <x:c r="Q191" s="18" t="str">
        <x:v>新增</x:v>
      </x:c>
      <x:c r="R191" s="11" t="str">
        <x:v>无</x:v>
      </x:c>
      <x:c r="S191" s="11" t="str">
        <x:v>无</x:v>
      </x:c>
      <x:c r="T191" s="11" t="str">
        <x:v>新增交互场景；独立起始模型来源另见M-INT-090，不把同基础模型计为旧交互题沿用。该题已有独立物理改动，不与其他任务共享模型。</x:v>
      </x:c>
      <x:c r="U19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91" s="11" t="str">
        <x:v>局部轴输入与适配需验证；空间节点力矩输入需验证；逐轮状态与目标/非目标差异评测待实现</x:v>
      </x:c>
      <x:c r="W191" s="11" t="str">
        <x:v>规划，待编题与验证</x:v>
      </x:c>
      <x:c r="X191" s="11" t="str">
        <x:v>OpenSees（本题侧重显式杆系力学；商业软件不作执行要求）</x:v>
      </x:c>
      <x:c r="Y191" s="18" t="str">
        <x:v>OpenSees</x:v>
      </x:c>
      <x:c r="Z191" s="11" t="str">
        <x:v>局部轴旋转与全局力/力矩独立更新，重点是空间杆件强弱轴和扭转响应</x:v>
      </x:c>
      <x:c r="AA19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91" s="11" t="str">
        <x:v>待逐题验证</x:v>
      </x:c>
      <x:c r="AC191" s="11" t="str">
        <x:v>未逐题验收；前置检查项：局部轴输入与适配需验证；空间节点力矩输入需验证，并核对局部轴和全局向量更新后的模型更新和结果定位；不把一般OpenSees支持等同于当前StructureClaw已实现。</x:v>
      </x:c>
      <x:c r="AD191" s="11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9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</x:v>
      </x:c>
      <x:c r="AF191" s="11" t="str">
        <x:v>OPS；COMMON</x:v>
      </x:c>
    </x:row>
    <x:row r="192" ht="94.5" customHeight="1">
      <x:c r="A192" s="15" t="str">
        <x:v>INT-091</x:v>
      </x:c>
      <x:c r="B192" s="6" t="str">
        <x:v>交互鲁棒性</x:v>
      </x:c>
      <x:c r="C192" s="19" t="str">
        <x:v>M-INT-091</x:v>
      </x:c>
      <x:c r="D192" s="6" t="str">
        <x:v>局部楼面荷载区域移动</x:v>
      </x:c>
      <x:c r="E192" s="6" t="str">
        <x:v>空间框架</x:v>
      </x:c>
      <x:c r="F192" s="19" t="str">
        <x:v>3D</x:v>
      </x:c>
      <x:c r="G192" s="6" t="str">
        <x:v>空间作用区域更新</x:v>
      </x:c>
      <x:c r="H192" s="19" t="str">
        <x:v>L3</x:v>
      </x:c>
      <x:c r="I192" s="6" t="str">
        <x:v>矩形分区改变只影响指定边界梁且须去除旧载</x:v>
      </x:c>
      <x:c r="J192" s="19" t="str">
        <x:v>中文</x:v>
      </x:c>
      <x:c r="K192" s="6" t="str">
        <x:v>文本2轮＋完整属性附件（仅暂缺项除外）</x:v>
      </x:c>
      <x:c r="L192" s="23" t="n">
        <x:v>2</x:v>
      </x:c>
      <x:c r="M192" s="6" t="str">
        <x:v>T1所用独立模型为M-INT-091（分区活载框架附加边缘水平力）。T1建立M-INT-091；T2把L从附件区域A整体移至相邻区域B，按新边界梁ID表施加，强度不变。</x:v>
      </x:c>
      <x:c r="N192" s="6" t="str">
        <x:v>空间荷载作用区域与重复加载；荷载工况的独立状态保持</x:v>
      </x:c>
      <x:c r="O192" s="6" t="str">
        <x:v>最高层最右且Y最大梁柱节点Ux/Uz/Uy及最左首层柱底My/Rz；所有值附位置、方向、单位、工况及当前轮次；澄清前不编造数值。</x:v>
      </x:c>
      <x:c r="P192" s="6" t="str">
        <x:v>旧A独有边梁L清零，A/B共享边按表仅一次；D全梁保持；区域无猜测；W边缘9kN不随L区域移动；D全梁线载不变。</x:v>
      </x:c>
      <x:c r="Q192" s="19" t="str">
        <x:v>新增</x:v>
      </x:c>
      <x:c r="R192" s="6" t="str">
        <x:v>无</x:v>
      </x:c>
      <x:c r="S192" s="6" t="str">
        <x:v>无</x:v>
      </x:c>
      <x:c r="T192" s="6" t="str">
        <x:v>新增交互场景；独立起始模型来源另见M-INT-091，不把同基础模型计为旧交互题沿用。该题已有独立物理改动，不与其他任务共享模型。</x:v>
      </x:c>
      <x:c r="U192" s="6" t="str">
        <x:v>每个可计算轮次由独立复核者在YJK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92" s="6" t="str">
        <x:v>基础工具；多工况执行契约需验证；逐轮状态与目标/非目标差异评测待实现</x:v>
      </x:c>
      <x:c r="W192" s="6" t="str">
        <x:v>规划，待编题与验证</x:v>
      </x:c>
      <x:c r="X192" s="6" t="str">
        <x:v>OpenSees（显式杆系参考）；YJK、PKPM（原生建筑建模方向，须逐项能力验收）</x:v>
      </x:c>
      <x:c r="Y192" s="19" t="str">
        <x:v>YJK</x:v>
      </x:c>
      <x:c r="Z192" s="6" t="str">
        <x:v>建筑分区活载从区域A移到B，需要保留楼层和梁归属并检查共享边，适合原生建筑模型更新</x:v>
      </x:c>
      <x:c r="AA192" s="6" t="str">
        <x:v>软件指定题，必须实际调用YJK完成每个可计算模型状态并取得当次结果；禁止用OpenSees结果冒充。仅显示设置/启动窗口不算完成；纯查询或单位变更可复用与未变模型一致的已验证结果。</x:v>
      </x:c>
      <x:c r="AB192" s="6" t="str">
        <x:v>存在已知接口缺口</x:v>
      </x:c>
      <x:c r="AC192" s="6" t="str">
        <x:v>当前仅整层面载，不能逐梁保留D、按区域替换L及保留W节点侧力；须补分区到梁映射、自定义工况和组合；现接口对关闭自重、无刚性楼板及完整弹性/截面属性的逐字段映射未证明，须显式设置并核验，禁止静默采用软件默认。节点反力虽有抽取路径，仍须验证本题节点/楼层ID对应与符号。</x:v>
      </x:c>
      <x:c r="AD192" s="6" t="str">
        <x:v>一阶线弹性静力；自重关闭；不自动施加刚性楼板/刚域、默认附加载或自动规范组合；严格保留题定约束、材料/截面完整属性、局部轴、荷载坐标与长度基准；单位逐字段明确。 保留独立原始工况及题定组合系数，修改组合不得覆盖原工况；保留三维六自由度/轴力单元各自约束和题定局部轴；各轮只执行明确修改，未被修改的字段保持；澄清内容按该轮生效。</x:v>
      </x:c>
      <x:c r="AE192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保存YJK原生工程及可复查模型导出/参数检查记录；模型改变后的新run须绑定更新后的工程，截屏只作辅助。</x:v>
      </x:c>
      <x:c r="AF192" s="6" t="str">
        <x:v>YJK；OPS；COMMON</x:v>
      </x:c>
    </x:row>
    <x:row r="193" ht="94.5" customHeight="1">
      <x:c r="A193" s="14" t="str">
        <x:v>INT-092</x:v>
      </x:c>
      <x:c r="B193" s="11" t="str">
        <x:v>交互鲁棒性</x:v>
      </x:c>
      <x:c r="C193" s="18" t="str">
        <x:v>M-INT-092</x:v>
      </x:c>
      <x:c r="D193" s="11" t="str">
        <x:v>三维坡屋盖高度与荷载基准</x:v>
      </x:c>
      <x:c r="E193" s="11" t="str">
        <x:v>空间框架</x:v>
      </x:c>
      <x:c r="F193" s="18" t="str">
        <x:v>3D</x:v>
      </x:c>
      <x:c r="G193" s="11" t="str">
        <x:v>空间几何联动更新</x:v>
      </x:c>
      <x:c r="H193" s="18" t="str">
        <x:v>L3</x:v>
      </x:c>
      <x:c r="I193" s="11" t="str">
        <x:v>坡度改变后实际长度线载总力应相应变化</x:v>
      </x:c>
      <x:c r="J193" s="18" t="str">
        <x:v>英文</x:v>
      </x:c>
      <x:c r="K193" s="11" t="str">
        <x:v>文本2轮＋完整属性附件（仅暂缺项除外）</x:v>
      </x:c>
      <x:c r="L193" s="22" t="n">
        <x:v>2</x:v>
      </x:c>
      <x:c r="M193" s="11" t="str">
        <x:v>T1所用独立模型为M-INT-092（前侧中柱缺失的斜屋盖空间框架）。T1建立M-INT-092；T2仅高侧屋面标高8改9m，仍按坡梁实际长度给原竖向线载。</x:v>
      </x:c>
      <x:c r="N193" s="11" t="str">
        <x:v>三维斜梁连接与荷载投影；拓扑的独立状态保持</x:v>
      </x:c>
      <x:c r="O193" s="11" t="str">
        <x:v>最高层最右且Y最大梁柱节点Ux/Uz/Uy及最左首层柱底My/Rz；所有值附位置、方向、单位、工况及当前轮次；澄清前不编造数值。</x:v>
      </x:c>
      <x:c r="P193" s="11" t="str">
        <x:v>低侧6m保持；所有相连坡梁端点更新；线载强度不改且方向仍全局Z负；高侧标高修改后缺柱保持，不重补前中柱。</x:v>
      </x:c>
      <x:c r="Q193" s="18" t="str">
        <x:v>新增</x:v>
      </x:c>
      <x:c r="R193" s="11" t="str">
        <x:v>无</x:v>
      </x:c>
      <x:c r="S193" s="11" t="str">
        <x:v>无</x:v>
      </x:c>
      <x:c r="T193" s="11" t="str">
        <x:v>新增交互场景；独立起始模型来源另见M-INT-092，不把同基础模型计为旧交互题沿用。该题已有独立物理改动，不与其他任务共享模型。</x:v>
      </x:c>
      <x:c r="U193" s="11" t="str">
        <x:v>每个可计算轮次由独立复核者在YJK创建参考模型并保存状态；模型改变后独立新算，纯结果查询沿用有效状态；核对力/矩平衡及适用解析结果，可用同假设OpenSees交叉校核；差异先追溯荷载分配/支座/轴向/楼板设置，不直接强求跨软件逐值相等。</x:v>
      </x:c>
      <x:c r="V193" s="11" t="str">
        <x:v>斜杆荷载与局部轴需验证；不规则空间连通与斜杆需验证；逐轮状态与目标/非目标差异评测待实现</x:v>
      </x:c>
      <x:c r="W193" s="11" t="str">
        <x:v>规划，待编题与验证</x:v>
      </x:c>
      <x:c r="X193" s="11" t="str">
        <x:v>OpenSees（显式杆系参考）；YJK、PKPM（原生建筑建模方向，须逐项能力验收）</x:v>
      </x:c>
      <x:c r="Y193" s="18" t="str">
        <x:v>YJK</x:v>
      </x:c>
      <x:c r="Z193" s="11" t="str">
        <x:v>高低屋面建筑的标高更新及缺柱保留，可检查原生空间建筑几何修改和重算</x:v>
      </x:c>
      <x:c r="AA193" s="11" t="str">
        <x:v>软件指定题，必须实际调用YJK完成每个可计算模型状态并取得当次结果；禁止用OpenSees结果冒充。仅显示设置/启动窗口不算完成；纯查询或单位变更可复用与未变模型一致的已验证结果。</x:v>
      </x:c>
      <x:c r="AB193" s="11" t="str">
        <x:v>存在已知接口缺口</x:v>
      </x:c>
      <x:c r="AC193" s="11" t="str">
        <x:v>当前要求完整网格、水平梁、相邻楼层完整柱，不能保持斜屋盖和缺柱；须补任意梁柱几何及按实际坡长的竖向线载；现接口对关闭自重、无刚性楼板及完整弹性/截面属性的逐字段映射未证明，须显式设置并核验，禁止静默采用软件默认。节点反力虽有抽取路径，仍须验证本题节点/楼层ID对应与符号。</x:v>
      </x:c>
      <x:c r="AD193" s="11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93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 保存YJK原生工程及可复查模型导出/参数检查记录；模型改变后的新run须绑定更新后的工程，截屏只作辅助。</x:v>
      </x:c>
      <x:c r="AF193" s="11" t="str">
        <x:v>YJK；OPS；COMMON</x:v>
      </x:c>
    </x:row>
    <x:row r="194" ht="67.5" customHeight="1">
      <x:c r="A194" s="15" t="str">
        <x:v>INT-093</x:v>
      </x:c>
      <x:c r="B194" s="6" t="str">
        <x:v>交互鲁棒性</x:v>
      </x:c>
      <x:c r="C194" s="19" t="str">
        <x:v>M-INT-093</x:v>
      </x:c>
      <x:c r="D194" s="6" t="str">
        <x:v>空间支撑立面指代确认</x:v>
      </x:c>
      <x:c r="E194" s="6" t="str">
        <x:v>空间框架</x:v>
      </x:c>
      <x:c r="F194" s="19" t="str">
        <x:v>3D</x:v>
      </x:c>
      <x:c r="G194" s="6" t="str">
        <x:v>空间立面定位澄清</x:v>
      </x:c>
      <x:c r="H194" s="19" t="str">
        <x:v>L3</x:v>
      </x:c>
      <x:c r="I194" s="6" t="str">
        <x:v>从观察方向说左侧不足以确定真实立面</x:v>
      </x:c>
      <x:c r="J194" s="19" t="str">
        <x:v>中文</x:v>
      </x:c>
      <x:c r="K194" s="6" t="str">
        <x:v>文本2轮＋完整属性附件（仅暂缺项除外）</x:v>
      </x:c>
      <x:c r="L194" s="23" t="n">
        <x:v>2</x:v>
      </x:c>
      <x:c r="M194" s="6" t="str">
        <x:v>T1所用独立模型为M-INT-093（空间支撑框架不同立面梁截面）。T1给M-INT-093，斜撑仅说左侧立面且视角未知；T2确认Y=0立面，并给支撑两端节点ID。</x:v>
      </x:c>
      <x:c r="N194" s="6" t="str">
        <x:v>立面位置与混合单元类型；截面分组的独立状态保持</x:v>
      </x:c>
      <x:c r="O194" s="6" t="str">
        <x:v>最高层最右且Y最大梁柱节点Ux/Uz/Uy及最左首层柱底My/Rz；所有值附位置、方向、单位、工况及当前轮次；澄清前不编造数值。</x:v>
      </x:c>
      <x:c r="P194" s="6" t="str">
        <x:v>其他三个立面无斜撑；轴力单元类型保持；两向侧载不换方向；支撑立面澄清后Y=0梁加强仍保持，其他面梁与斜撑类型不变；若已有信息可唯一推得缺项，接受说明依据后直接完成，否则再澄清。</x:v>
      </x:c>
      <x:c r="Q194" s="19" t="str">
        <x:v>新增</x:v>
      </x:c>
      <x:c r="R194" s="6" t="str">
        <x:v>无</x:v>
      </x:c>
      <x:c r="S194" s="6" t="str">
        <x:v>无</x:v>
      </x:c>
      <x:c r="T194" s="6" t="str">
        <x:v>新增交互场景；独立起始模型来源另见M-INT-093，不把同基础模型计为旧交互题沿用。该题已有独立物理改动，不与其他任务共享模型。</x:v>
      </x:c>
      <x:c r="U194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94" s="6" t="str">
        <x:v>混合单元工具链需验证；逐轮状态与目标/非目标差异评测待实现</x:v>
      </x:c>
      <x:c r="W194" s="6" t="str">
        <x:v>规划，待编题与验证</x:v>
      </x:c>
      <x:c r="X194" s="6" t="str">
        <x:v>OpenSees（本题侧重显式杆系力学；商业软件不作执行要求）</x:v>
      </x:c>
      <x:c r="Y194" s="19" t="str">
        <x:v>OpenSees</x:v>
      </x:c>
      <x:c r="Z194" s="6" t="str">
        <x:v>空间框架与轴力斜撑混合且交叉不连接，核心为单元类型和三维拓扑</x:v>
      </x:c>
      <x:c r="AA194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94" s="6" t="str">
        <x:v>待逐题验证</x:v>
      </x:c>
      <x:c r="AC194" s="6" t="str">
        <x:v>未逐题验收；前置检查项：混合单元工具链需验证，并核对空间立面定位澄清后的模型更新和结果定位；不把一般OpenSees支持等同于当前StructureClaw已实现。</x:v>
      </x:c>
      <x:c r="AD194" s="6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94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</x:v>
      </x:c>
      <x:c r="AF194" s="6" t="str">
        <x:v>OPS；COMMON</x:v>
      </x:c>
    </x:row>
    <x:row r="195" ht="67.5" customHeight="1">
      <x:c r="A195" s="14" t="str">
        <x:v>INT-094</x:v>
      </x:c>
      <x:c r="B195" s="11" t="str">
        <x:v>交互鲁棒性</x:v>
      </x:c>
      <x:c r="C195" s="18" t="str">
        <x:v>M-INT-094</x:v>
      </x:c>
      <x:c r="D195" s="11" t="str">
        <x:v>坐标轴映射一处符号缺失</x:v>
      </x:c>
      <x:c r="E195" s="11" t="str">
        <x:v>空间框架</x:v>
      </x:c>
      <x:c r="F195" s="18" t="str">
        <x:v>3D</x:v>
      </x:c>
      <x:c r="G195" s="11" t="str">
        <x:v>坐标转换澄清</x:v>
      </x:c>
      <x:c r="H195" s="18" t="str">
        <x:v>L3</x:v>
      </x:c>
      <x:c r="I195" s="11" t="str">
        <x:v>一次映射需同步几何约束和所有荷载向量</x:v>
      </x:c>
      <x:c r="J195" s="18" t="str">
        <x:v>英文</x:v>
      </x:c>
      <x:c r="K195" s="11" t="str">
        <x:v>文本2轮＋完整属性附件（仅暂缺项除外）</x:v>
      </x:c>
      <x:c r="L195" s="22" t="n">
        <x:v>2</x:v>
      </x:c>
      <x:c r="M195" s="11" t="str">
        <x:v>T1所用独立模型为M-INT-094（轴变换框架的局部设备力矩）。T1给M-INT-094源Y向上，映射写Xg=Xs、Zg=Ys，但Yg=±Zs符号空缺；T2确认Yg=-Zs。</x:v>
      </x:c>
      <x:c r="N195" s="11" t="str">
        <x:v>几何、约束和荷载必须一致变换；荷载类型的独立状态保持</x:v>
      </x:c>
      <x:c r="O195" s="11" t="str">
        <x:v>最高层最右且Y最大梁柱节点Ux/Uz/Uy及最左首层柱底My/Rz；所有值附位置、方向、单位、工况及当前轮次；澄清前不编造数值。</x:v>
      </x:c>
      <x:c r="P195" s="11" t="str">
        <x:v>按右手映射一致转换节点、约束、力矩及力；不能只换坐标标签；确认局部轴；该源轴力矩随映射一致转换，不能留在全局Y轴；若已有信息可唯一推得缺项，接受说明依据后直接完成，否则再澄清。</x:v>
      </x:c>
      <x:c r="Q195" s="18" t="str">
        <x:v>新增</x:v>
      </x:c>
      <x:c r="R195" s="11" t="str">
        <x:v>无</x:v>
      </x:c>
      <x:c r="S195" s="11" t="str">
        <x:v>无</x:v>
      </x:c>
      <x:c r="T195" s="11" t="str">
        <x:v>新增交互场景；独立起始模型来源另见M-INT-094，不把同基础模型计为旧交互题沿用。该题已有独立物理改动，不与其他任务共享模型。</x:v>
      </x:c>
      <x:c r="U195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95" s="11" t="str">
        <x:v>坐标转换协议需验证；坐标转换及节点力矩需验证；逐轮状态与目标/非目标差异评测待实现</x:v>
      </x:c>
      <x:c r="W195" s="11" t="str">
        <x:v>规划，待编题与验证</x:v>
      </x:c>
      <x:c r="X195" s="11" t="str">
        <x:v>OpenSees（本题侧重显式杆系力学；商业软件不作执行要求）</x:v>
      </x:c>
      <x:c r="Y195" s="18" t="str">
        <x:v>OpenSees</x:v>
      </x:c>
      <x:c r="Z195" s="11" t="str">
        <x:v>源坐标到全局右手映射，同时变换力与力矩，适合显式空间杆系协议</x:v>
      </x:c>
      <x:c r="AA195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95" s="11" t="str">
        <x:v>待逐题验证</x:v>
      </x:c>
      <x:c r="AC195" s="11" t="str">
        <x:v>未逐题验收；前置检查项：坐标转换协议需验证；坐标转换及节点力矩需验证，并核对坐标转换澄清后的模型更新和结果定位；不把一般OpenSees支持等同于当前StructureClaw已实现。</x:v>
      </x:c>
      <x:c r="AD195" s="11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95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最高层最右且Y最大梁柱节点Ux/Uz/Uy及最左首层柱底My/Rz。</x:v>
      </x:c>
      <x:c r="AF195" s="11" t="str">
        <x:v>OPS；COMMON</x:v>
      </x:c>
    </x:row>
    <x:row r="196" ht="67.5" customHeight="1">
      <x:c r="A196" s="15" t="str">
        <x:v>INT-095</x:v>
      </x:c>
      <x:c r="B196" s="6" t="str">
        <x:v>交互鲁棒性</x:v>
      </x:c>
      <x:c r="C196" s="19" t="str">
        <x:v>M-INT-095</x:v>
      </x:c>
      <x:c r="D196" s="6" t="str">
        <x:v>柱高度为零后给出正确值</x:v>
      </x:c>
      <x:c r="E196" s="6" t="str">
        <x:v>柱</x:v>
      </x:c>
      <x:c r="F196" s="19" t="str">
        <x:v>2D</x:v>
      </x:c>
      <x:c r="G196" s="6" t="str">
        <x:v>无效值修正后完成</x:v>
      </x:c>
      <x:c r="H196" s="19" t="str">
        <x:v>L2</x:v>
      </x:c>
      <x:c r="I196" s="6" t="str">
        <x:v>明确无效几何需要纠正后再分析</x:v>
      </x:c>
      <x:c r="J196" s="19" t="str">
        <x:v>中文</x:v>
      </x:c>
      <x:c r="K196" s="6" t="str">
        <x:v>文本2轮＋完整属性附件（仅暂缺项除外）</x:v>
      </x:c>
      <x:c r="L196" s="23" t="n">
        <x:v>2</x:v>
      </x:c>
      <x:c r="M196" s="6" t="str">
        <x:v>T1所用独立模型为M-INT-095（中段受附加轴力的混凝土柱）。T1给M-INT-095但高度写0m；T2确认4.5m，仍400×400mm、顶压500kN，补充模型的中点100kN保持。</x:v>
      </x:c>
      <x:c r="N196" s="6" t="str">
        <x:v>轴压方向与材料截面；荷载位置的独立状态保持</x:v>
      </x:c>
      <x:c r="O196" s="6" t="str">
        <x:v>柱顶Uz/Ux及柱底Rz/My；所有值附位置、方向、单位、工况及当前轮次；澄清前不编造数值。</x:v>
      </x:c>
      <x:c r="P196" s="6" t="str">
        <x:v>首轮不建零长单元；补全后完成轴压响应；不自行增其他侧力或做稳定验算；纠正总高后中点z=2.25m和100kN保留，底轴力不可只算500kN。</x:v>
      </x:c>
      <x:c r="Q196" s="19" t="str">
        <x:v>旧题改编</x:v>
      </x:c>
      <x:c r="R196" s="6" t="str">
        <x:v>robust-column-zero-height</x:v>
      </x:c>
      <x:c r="S196" s="6" t="str">
        <x:v>无</x:v>
      </x:c>
      <x:c r="T196" s="6" t="str">
        <x:v>旧题交互机制迁入M-INT-095；补齐属性、完成计算与更新不变量；本行轮次为新契约，旧数字不直接沿用。该题已有独立物理改动，不与其他任务共享模型。</x:v>
      </x:c>
      <x:c r="U196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96" s="6" t="str">
        <x:v>基础工具；逐轮状态与目标/非目标差异评测待实现</x:v>
      </x:c>
      <x:c r="W196" s="6" t="str">
        <x:v>规划，待编题与验证</x:v>
      </x:c>
      <x:c r="X196" s="6" t="str">
        <x:v>OpenSees</x:v>
      </x:c>
      <x:c r="Y196" s="19" t="str">
        <x:v>OpenSees</x:v>
      </x:c>
      <x:c r="Z196" s="6" t="str">
        <x:v>2D柱的无效值修正后完成，重点是轴压方向与材料截面，用显式杆系模型核对状态与响应。</x:v>
      </x:c>
      <x:c r="AA196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96" s="6" t="str">
        <x:v>待逐题验证</x:v>
      </x:c>
      <x:c r="AC196" s="6" t="str">
        <x:v>未逐题验收；前置检查项：基础工具，并核对无效值修正后完成后的模型更新和结果定位；不把一般OpenSees支持等同于当前StructureClaw已实现。</x:v>
      </x:c>
      <x:c r="AD196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96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柱顶Uz/Ux及柱底Rz/My。</x:v>
      </x:c>
      <x:c r="AF196" s="6" t="str">
        <x:v>OPS；COMMON</x:v>
      </x:c>
    </x:row>
    <x:row r="197" ht="67.5" customHeight="1">
      <x:c r="A197" s="14" t="str">
        <x:v>INT-096</x:v>
      </x:c>
      <x:c r="B197" s="11" t="str">
        <x:v>交互鲁棒性</x:v>
      </x:c>
      <x:c r="C197" s="18" t="str">
        <x:v>M-INT-096</x:v>
      </x:c>
      <x:c r="D197" s="11" t="str">
        <x:v>轴压加水平力只反转水平力</x:v>
      </x:c>
      <x:c r="E197" s="11" t="str">
        <x:v>柱</x:v>
      </x:c>
      <x:c r="F197" s="18" t="str">
        <x:v>2D</x:v>
      </x:c>
      <x:c r="G197" s="11" t="str">
        <x:v>分量定向更新</x:v>
      </x:c>
      <x:c r="H197" s="18" t="str">
        <x:v>L2</x:v>
      </x:c>
      <x:c r="I197" s="11" t="str">
        <x:v>柱分段截面与端力分量均需准确保留，仅反转水平分量</x:v>
      </x:c>
      <x:c r="J197" s="18" t="str">
        <x:v>英文</x:v>
      </x:c>
      <x:c r="K197" s="11" t="str">
        <x:v>文本2轮＋完整属性附件（仅暂缺项除外）</x:v>
      </x:c>
      <x:c r="L197" s="22" t="n">
        <x:v>2</x:v>
      </x:c>
      <x:c r="M197" s="11" t="str">
        <x:v>T1所用独立模型为M-INT-096（强弱段组成的受压侧载柱）。T1建立M-INT-096；T2将X向30kN反向，轴压600kN不变。</x:v>
      </x:c>
      <x:c r="N197" s="11" t="str">
        <x:v>轴向和侧向分量分开；截面分组的独立状态保持</x:v>
      </x:c>
      <x:c r="O197" s="11" t="str">
        <x:v>柱顶Uz/Ux及柱底Rz/My；所有值附位置、方向、单位、工况及当前轮次；澄清前不编造数值。</x:v>
      </x:c>
      <x:c r="P197" s="11" t="str">
        <x:v>最终Fx=-30、Fz=-600kN；材料截面与高度不变；仍一阶弹性分析；反向水平力不改变上下截面差异和2.1m分界。</x:v>
      </x:c>
      <x:c r="Q197" s="18" t="str">
        <x:v>新增</x:v>
      </x:c>
      <x:c r="R197" s="11" t="str">
        <x:v>无</x:v>
      </x:c>
      <x:c r="S197" s="11" t="str">
        <x:v>无</x:v>
      </x:c>
      <x:c r="T197" s="11" t="str">
        <x:v>新增交互场景；独立起始模型来源另见M-INT-096，不把同基础模型计为旧交互题沿用。该题已有独立物理改动，不与其他任务共享模型。</x:v>
      </x:c>
      <x:c r="U197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97" s="11" t="str">
        <x:v>基础工具；局部轴定义需验证；逐轮状态与目标/非目标差异评测待实现</x:v>
      </x:c>
      <x:c r="W197" s="11" t="str">
        <x:v>规划，待编题与验证</x:v>
      </x:c>
      <x:c r="X197" s="11" t="str">
        <x:v>OpenSees</x:v>
      </x:c>
      <x:c r="Y197" s="18" t="str">
        <x:v>OpenSees</x:v>
      </x:c>
      <x:c r="Z197" s="11" t="str">
        <x:v>2D柱的分量定向更新，重点是轴向和侧向分量分开，用显式杆系模型核对状态与响应。</x:v>
      </x:c>
      <x:c r="AA197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97" s="11" t="str">
        <x:v>待逐题验证</x:v>
      </x:c>
      <x:c r="AC197" s="11" t="str">
        <x:v>未逐题验收；前置检查项：基础工具；局部轴定义需验证，并核对分量定向更新后的模型更新和结果定位；不把一般OpenSees支持等同于当前StructureClaw已实现。</x:v>
      </x:c>
      <x:c r="AD197" s="11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97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柱顶Uz/Ux及柱底Rz/My。</x:v>
      </x:c>
      <x:c r="AF197" s="11" t="str">
        <x:v>OPS；COMMON</x:v>
      </x:c>
    </x:row>
    <x:row r="198" ht="67.5" customHeight="1">
      <x:c r="A198" s="15" t="str">
        <x:v>INT-097</x:v>
      </x:c>
      <x:c r="B198" s="6" t="str">
        <x:v>交互鲁棒性</x:v>
      </x:c>
      <x:c r="C198" s="19" t="str">
        <x:v>M-INT-097</x:v>
      </x:c>
      <x:c r="D198" s="6" t="str">
        <x:v>钢柱只修改输出单位</x:v>
      </x:c>
      <x:c r="E198" s="6" t="str">
        <x:v>柱</x:v>
      </x:c>
      <x:c r="F198" s="19" t="str">
        <x:v>2D</x:v>
      </x:c>
      <x:c r="G198" s="6" t="str">
        <x:v>结果表达修订</x:v>
      </x:c>
      <x:c r="H198" s="19" t="str">
        <x:v>L1</x:v>
      </x:c>
      <x:c r="I198" s="6" t="str">
        <x:v>模型输入完整，只将同一结果的两个位移分量转换单位，作为低难度表达修订对照</x:v>
      </x:c>
      <x:c r="J198" s="19" t="str">
        <x:v>中文</x:v>
      </x:c>
      <x:c r="K198" s="6" t="str">
        <x:v>文本2轮＋完整属性附件（仅暂缺项除外）</x:v>
      </x:c>
      <x:c r="L198" s="23" t="n">
        <x:v>2</x:v>
      </x:c>
      <x:c r="M198" s="6" t="str">
        <x:v>T1建立独立模型M-INT-097：5m钢柱，顶向下700kN、z=2m节点X向12kN，先以m报告柱顶Uz和Ux；T2两位移都改用mm，并保留符号、位置和工况。</x:v>
      </x:c>
      <x:c r="N198" s="6" t="str">
        <x:v>不能将静力分析表述为稳定验算；荷载类型与位置的独立状态保持</x:v>
      </x:c>
      <x:c r="O198" s="6" t="str">
        <x:v>柱顶Uz和Ux，T1单位m、T2单位mm；两轮符号、位置和工况一致，均源于同一分析状态。</x:v>
      </x:c>
      <x:c r="P198" s="6" t="str">
        <x:v>Uz/Ux数值各乘1000、单位均改mm；几何和截面不变；柱中12kN水平力及柱顶700kN轴压不重新追加；不得声称稳定验算通过。</x:v>
      </x:c>
      <x:c r="Q198" s="19" t="str">
        <x:v>新增</x:v>
      </x:c>
      <x:c r="R198" s="6" t="str">
        <x:v>无</x:v>
      </x:c>
      <x:c r="S198" s="6" t="str">
        <x:v>无</x:v>
      </x:c>
      <x:c r="T198" s="6" t="str">
        <x:v>新增交互场景；独立起始模型来源另见M-INT-097，不把同基础模型计为旧交互题沿用。该题已有独立物理改动，不与其他任务共享模型。</x:v>
      </x:c>
      <x:c r="U198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98" s="6" t="str">
        <x:v>基础工具；逐轮状态与目标/非目标差异评测待实现</x:v>
      </x:c>
      <x:c r="W198" s="6" t="str">
        <x:v>规划，待编题与验证</x:v>
      </x:c>
      <x:c r="X198" s="6" t="str">
        <x:v>OpenSees</x:v>
      </x:c>
      <x:c r="Y198" s="19" t="str">
        <x:v>OpenSees</x:v>
      </x:c>
      <x:c r="Z198" s="6" t="str">
        <x:v>仅转换位移输出单位，保持同一分析状态和荷载，属于结果解释</x:v>
      </x:c>
      <x:c r="AA198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98" s="6" t="str">
        <x:v>待逐题验证</x:v>
      </x:c>
      <x:c r="AC198" s="6" t="str">
        <x:v>未逐题验收；前置检查项：基础工具，并核对结果表达修订后的模型更新和结果定位；不把一般OpenSees支持等同于当前StructureClaw已实现。</x:v>
      </x:c>
      <x:c r="AD198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198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柱顶Uz和Ux，T1单位m、T2单位mm。</x:v>
      </x:c>
      <x:c r="AF198" s="6" t="str">
        <x:v>OPS；COMMON</x:v>
      </x:c>
    </x:row>
    <x:row r="199" ht="67.5" customHeight="1">
      <x:c r="A199" s="14" t="str">
        <x:v>INT-098</x:v>
      </x:c>
      <x:c r="B199" s="11" t="str">
        <x:v>交互鲁棒性</x:v>
      </x:c>
      <x:c r="C199" s="18" t="str">
        <x:v>M-INT-098</x:v>
      </x:c>
      <x:c r="D199" s="11" t="str">
        <x:v>空间柱两个弯曲方向的截面核对</x:v>
      </x:c>
      <x:c r="E199" s="11" t="str">
        <x:v>柱</x:v>
      </x:c>
      <x:c r="F199" s="18" t="str">
        <x:v>3D</x:v>
      </x:c>
      <x:c r="G199" s="11" t="str">
        <x:v>属性方向澄清</x:v>
      </x:c>
      <x:c r="H199" s="18" t="str">
        <x:v>L3</x:v>
      </x:c>
      <x:c r="I199" s="11" t="str">
        <x:v>非对称截面和双向侧载下I轴引用必须一致</x:v>
      </x:c>
      <x:c r="J199" s="18" t="str">
        <x:v>英文</x:v>
      </x:c>
      <x:c r="K199" s="11" t="str">
        <x:v>文本2轮＋完整属性附件（仅暂缺项除外）</x:v>
      </x:c>
      <x:c r="L199" s="22" t="n">
        <x:v>2</x:v>
      </x:c>
      <x:c r="M199" s="11" t="str">
        <x:v>T1所用独立模型为M-INT-098（空间柱顶力与中段横力）。T1给M-INT-098，Iy/Iz表与截面局部轴注释互换；T2确认采用附件修正表，给出完整轴向定义。</x:v>
      </x:c>
      <x:c r="N199" s="11" t="str">
        <x:v>两个弯曲方向与截面惯性矩；荷载位置的独立状态保持</x:v>
      </x:c>
      <x:c r="O199" s="11" t="str">
        <x:v>柱顶Uz/Ux/Uy及柱底Rz/My；所有值附位置、方向、单位、工况及当前轮次；澄清前不编造数值。</x:v>
      </x:c>
      <x:c r="P199" s="11" t="str">
        <x:v>不可平均两个惯性矩；Fx=20、Fy=15、Fz=-400kN不变；底六自由度固定；确认惯性轴时中段-8kN不移到柱顶，也不旋转为Y力。</x:v>
      </x:c>
      <x:c r="Q199" s="18" t="str">
        <x:v>新增</x:v>
      </x:c>
      <x:c r="R199" s="11" t="str">
        <x:v>无</x:v>
      </x:c>
      <x:c r="S199" s="11" t="str">
        <x:v>无</x:v>
      </x:c>
      <x:c r="T199" s="11" t="str">
        <x:v>新增交互场景；独立起始模型来源另见M-INT-098，不把同基础模型计为旧交互题沿用。该题已有独立物理改动，不与其他任务共享模型。</x:v>
      </x:c>
      <x:c r="U199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199" s="11" t="str">
        <x:v>空间局部轴需验证；逐轮状态与目标/非目标差异评测待实现</x:v>
      </x:c>
      <x:c r="W199" s="11" t="str">
        <x:v>规划，待编题与验证</x:v>
      </x:c>
      <x:c r="X199" s="11" t="str">
        <x:v>OpenSees</x:v>
      </x:c>
      <x:c r="Y199" s="18" t="str">
        <x:v>OpenSees</x:v>
      </x:c>
      <x:c r="Z199" s="11" t="str">
        <x:v>空间独柱双向弯曲与惯性轴核对，适合显式三维梁柱单元</x:v>
      </x:c>
      <x:c r="AA199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199" s="11" t="str">
        <x:v>待逐题验证</x:v>
      </x:c>
      <x:c r="AC199" s="11" t="str">
        <x:v>未逐题验收；前置检查项：空间局部轴需验证，并核对属性方向澄清后的模型更新和结果定位；不把一般OpenSees支持等同于当前StructureClaw已实现。</x:v>
      </x:c>
      <x:c r="AD199" s="11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199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柱顶Uz/Ux/Uy及柱底Rz/My。</x:v>
      </x:c>
      <x:c r="AF199" s="11" t="str">
        <x:v>OPS；COMMON</x:v>
      </x:c>
    </x:row>
    <x:row r="200" ht="67.5" customHeight="1">
      <x:c r="A200" s="15" t="str">
        <x:v>INT-099</x:v>
      </x:c>
      <x:c r="B200" s="6" t="str">
        <x:v>交互鲁棒性</x:v>
      </x:c>
      <x:c r="C200" s="19" t="str">
        <x:v>M-INT-099</x:v>
      </x:c>
      <x:c r="D200" s="6" t="str">
        <x:v>分段柱截面界面上移</x:v>
      </x:c>
      <x:c r="E200" s="6" t="str">
        <x:v>柱</x:v>
      </x:c>
      <x:c r="F200" s="19" t="str">
        <x:v>2D</x:v>
      </x:c>
      <x:c r="G200" s="6" t="str">
        <x:v>分段几何更新</x:v>
      </x:c>
      <x:c r="H200" s="19" t="str">
        <x:v>L2</x:v>
      </x:c>
      <x:c r="I200" s="6" t="str">
        <x:v>改分界点不等于改总柱高，需要更新两段长度</x:v>
      </x:c>
      <x:c r="J200" s="19" t="str">
        <x:v>中文</x:v>
      </x:c>
      <x:c r="K200" s="6" t="str">
        <x:v>文本2轮＋完整属性附件（仅暂缺项除外）</x:v>
      </x:c>
      <x:c r="L200" s="23" t="n">
        <x:v>2</x:v>
      </x:c>
      <x:c r="M200" s="6" t="str">
        <x:v>T1所用独立模型为M-INT-099（分段柱顶节点附加力矩）。T1建立M-INT-099；T2C1/C2分界从3改4m，柱高仍8m。</x:v>
      </x:c>
      <x:c r="N200" s="6" t="str">
        <x:v>截面分界节点与整体连续；荷载类型的独立状态保持</x:v>
      </x:c>
      <x:c r="O200" s="6" t="str">
        <x:v>柱顶Uz/Ux及柱底Rz/My；所有值附位置、方向、单位、工况及当前轮次；澄清前不编造数值。</x:v>
      </x:c>
      <x:c r="P200" s="6" t="str">
        <x:v>两段共节点在4m；下C1上C2保持；顶力位置仍8m、荷载数值不变；分界上移时顶18kN·m仍在z=8m，不随分段点移动。</x:v>
      </x:c>
      <x:c r="Q200" s="19" t="str">
        <x:v>新增</x:v>
      </x:c>
      <x:c r="R200" s="6" t="str">
        <x:v>无</x:v>
      </x:c>
      <x:c r="S200" s="6" t="str">
        <x:v>无</x:v>
      </x:c>
      <x:c r="T200" s="6" t="str">
        <x:v>新增交互场景；独立起始模型来源另见M-INT-099，不把同基础模型计为旧交互题沿用。该题已有独立物理改动，不与其他任务共享模型。</x:v>
      </x:c>
      <x:c r="U200" s="6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200" s="6" t="str">
        <x:v>基础工具；节点力矩输入需验证；逐轮状态与目标/非目标差异评测待实现</x:v>
      </x:c>
      <x:c r="W200" s="6" t="str">
        <x:v>规划，待编题与验证</x:v>
      </x:c>
      <x:c r="X200" s="6" t="str">
        <x:v>OpenSees</x:v>
      </x:c>
      <x:c r="Y200" s="19" t="str">
        <x:v>OpenSees</x:v>
      </x:c>
      <x:c r="Z200" s="6" t="str">
        <x:v>2D柱的分段几何更新，重点是截面分界节点与整体连续，用显式杆系模型核对状态与响应。</x:v>
      </x:c>
      <x:c r="AA200" s="6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200" s="6" t="str">
        <x:v>待逐题验证</x:v>
      </x:c>
      <x:c r="AC200" s="6" t="str">
        <x:v>未逐题验收；前置检查项：基础工具；节点力矩输入需验证，并核对分段几何更新后的模型更新和结果定位；不把一般OpenSees支持等同于当前StructureClaw已实现。</x:v>
      </x:c>
      <x:c r="AD200" s="6" t="str">
        <x:v>一阶线弹性静力；自重关闭；不自动施加刚性楼板/刚域、默认附加载或自动规范组合；严格保留题定约束、材料/截面完整属性、局部轴、荷载坐标与长度基准；单位逐字段明确。 各轮只执行明确修改，未被修改的字段保持；澄清内容按该轮生效。</x:v>
      </x:c>
      <x:c r="AE200" s="6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柱顶Uz/Ux及柱底Rz/My。</x:v>
      </x:c>
      <x:c r="AF200" s="6" t="str">
        <x:v>OPS；COMMON</x:v>
      </x:c>
    </x:row>
    <x:row r="201" ht="67.5" customHeight="1">
      <x:c r="A201" s="14" t="str">
        <x:v>INT-100</x:v>
      </x:c>
      <x:c r="B201" s="11" t="str">
        <x:v>交互鲁棒性</x:v>
      </x:c>
      <x:c r="C201" s="18" t="str">
        <x:v>M-INT-100</x:v>
      </x:c>
      <x:c r="D201" s="11" t="str">
        <x:v>偏心短臂方向改动后撤销</x:v>
      </x:c>
      <x:c r="E201" s="11" t="str">
        <x:v>柱</x:v>
      </x:c>
      <x:c r="F201" s="18" t="str">
        <x:v>3D</x:v>
      </x:c>
      <x:c r="G201" s="11" t="str">
        <x:v>空间几何修改与撤销</x:v>
      </x:c>
      <x:c r="H201" s="18" t="str">
        <x:v>L3</x:v>
      </x:c>
      <x:c r="I201" s="11" t="str">
        <x:v>实际偏心方向改变影响三维弯扭耦合且需要可追溯撤销</x:v>
      </x:c>
      <x:c r="J201" s="18" t="str">
        <x:v>英文</x:v>
      </x:c>
      <x:c r="K201" s="11" t="str">
        <x:v>文本3轮＋完整属性附件（仅暂缺项除外）</x:v>
      </x:c>
      <x:c r="L201" s="22" t="n">
        <x:v>3</x:v>
      </x:c>
      <x:c r="M201" s="11" t="str">
        <x:v>T1所用独立模型为M-INT-100（柱短臂模型的中柱横向力）。T1建立M-INT-100；T2将顶端短臂从X正向1m改Y正向1m，端力向量仍全局Z负200、Y正10kN；T3撤销几何改动。</x:v>
      </x:c>
      <x:c r="N201" s="11" t="str">
        <x:v>真实偏心几何与空间荷载，不用未声明刚臂简化；荷载位置的独立状态保持</x:v>
      </x:c>
      <x:c r="O201" s="11" t="str">
        <x:v>短梁自由端Ux/Uy/Uz及柱底My/Mz；所有值附位置、方向、单位、工况及当前轮次；澄清前不编造数值。</x:v>
      </x:c>
      <x:c r="P201" s="11" t="str">
        <x:v>最终短臂恢复X向；端力随端点移动但方向不旋转；柱高5m和刚接关系不变；短臂方向修改/撤销均不移动或旋转柱中部16kN力。</x:v>
      </x:c>
      <x:c r="Q201" s="18" t="str">
        <x:v>新增</x:v>
      </x:c>
      <x:c r="R201" s="11" t="str">
        <x:v>无</x:v>
      </x:c>
      <x:c r="S201" s="11" t="str">
        <x:v>无</x:v>
      </x:c>
      <x:c r="T201" s="11" t="str">
        <x:v>新增交互场景；独立起始模型来源另见M-INT-100，不把同基础模型计为旧交互题沿用。该题已有独立物理改动，不与其他任务共享模型。</x:v>
      </x:c>
      <x:c r="U201" s="11" t="str">
        <x:v>各可计算轮次独立建立并复核OpenSees参考模型，勿复用被测建模/转换路径生成标答；状态改变后独立新算，纯查询沿用有效状态；用解析解（适用时）、整体平衡、刚度/单位/符号检查复核，复杂题再用独立实现或同假设第二求解器核验。</x:v>
      </x:c>
      <x:c r="V201" s="11" t="str">
        <x:v>空间梁柱连接需验证；逐轮状态与目标/非目标差异评测待实现</x:v>
      </x:c>
      <x:c r="W201" s="11" t="str">
        <x:v>规划，待编题与验证</x:v>
      </x:c>
      <x:c r="X201" s="11" t="str">
        <x:v>OpenSees</x:v>
      </x:c>
      <x:c r="Y201" s="18" t="str">
        <x:v>OpenSees</x:v>
      </x:c>
      <x:c r="Z201" s="11" t="str">
        <x:v>柱与偏心短臂修改/撤销时保持全局端力，属于空间梁柱力学</x:v>
      </x:c>
      <x:c r="AA201" s="11" t="str">
        <x:v>计划使用OpenSees完成每个可计算轮次；模型/荷载/材料/约束改变后以当前状态新算；只改查询位置、单位或报告时可复用可追溯结果，若需新网格则重算；缺项未解决时不给虚构数值。</x:v>
      </x:c>
      <x:c r="AB201" s="11" t="str">
        <x:v>待逐题验证</x:v>
      </x:c>
      <x:c r="AC201" s="11" t="str">
        <x:v>未逐题验收；前置检查项：空间梁柱连接需验证，并核对空间几何修改与撤销后的模型更新和结果定位；不把一般OpenSees支持等同于当前StructureClaw已实现。</x:v>
      </x:c>
      <x:c r="AD201" s="11" t="str">
        <x:v>一阶线弹性静力；自重关闭；不自动施加刚性楼板/刚域、默认附加载或自动规范组合；严格保留题定约束、材料/截面完整属性、局部轴、荷载坐标与长度基准；单位逐字段明确。 保留三维六自由度/轴力单元各自约束和题定局部轴；各轮只执行明确修改，未被修改的字段保持；澄清内容按该轮生效。</x:v>
      </x:c>
      <x:c r="AE201" s="11" t="str">
        <x:v>逐轮输入与澄清记录、模型状态快照及前后字段差异；变更目标与未变字段核对；原始求解输入/工程、软件版本/设置、运行ID和成功日志、原始结果到节点/构件/工况的映射；结果绑定当前模型状态。核对目标：短梁自由端Ux/Uy/Uz及柱底My/Mz。</x:v>
      </x:c>
      <x:c r="AF201" s="11" t="str">
        <x:v>OPS；COMMON</x:v>
      </x:c>
    </x:row>
    <x:row r="202" ht="94.5" customHeight="1">
      <x:c r="A202" s="15" t="str">
        <x:v>MM-001</x:v>
      </x:c>
      <x:c r="B202" s="6" t="str">
        <x:v>多模态逆向建模</x:v>
      </x:c>
      <x:c r="C202" s="19" t="str">
        <x:v>M-MM-001</x:v>
      </x:c>
      <x:c r="D202" s="6" t="str">
        <x:v>双端固支均布梁：力学简图</x:v>
      </x:c>
      <x:c r="E202" s="6" t="str">
        <x:v>梁</x:v>
      </x:c>
      <x:c r="F202" s="19" t="str">
        <x:v>2D</x:v>
      </x:c>
      <x:c r="G202" s="6" t="str">
        <x:v>力学简图</x:v>
      </x:c>
      <x:c r="H202" s="19" t="str">
        <x:v>L1</x:v>
      </x:c>
      <x:c r="I202" s="6" t="str">
        <x:v>清晰单图需识别两固端，不能沿用简支约束。</x:v>
      </x:c>
      <x:c r="J202" s="19" t="str">
        <x:v>中文</x:v>
      </x:c>
      <x:c r="K202" s="6" t="str">
        <x:v>新PNG独占本题几何尺寸、连接、支座与荷载图示；附录只给完整材料/截面及求解设置，不转写图内几何。所有新附件待制作、盲审与验证。</x:v>
      </x:c>
      <x:c r="L202" s="23" t="n">
        <x:v>1</x:v>
      </x:c>
      <x:c r="M202" s="6" t="str">
        <x:v>几何：6m水平直梁，中点设连接观测节点；边界：两端均固支；荷载：全跨向下20kN/m；属性：全梁单一钢材M1和截面B1。（本栏是编题规格，实际用户输入按图/表分工呈现。）</x:v>
      </x:c>
      <x:c r="N202" s="6" t="str">
        <x:v>清晰单图需识别两固端，不能沿用简支约束。</x:v>
      </x:c>
      <x:c r="O202" s="6" t="str">
        <x:v>x=3m竖向位移、左端弯矩；附与数值一致的模型/结果图。</x:v>
      </x:c>
      <x:c r="P202" s="6" t="str">
        <x:v>模型核对：将原铰滚简支改为两端固支，端弯矩与跨中挠度机理改变。；数值/表述核对：x=3m竖向位移、左端弯矩，位置、方向、单位须一致。</x:v>
      </x:c>
      <x:c r="Q202" s="19" t="str">
        <x:v>旧题改编</x:v>
      </x:c>
      <x:c r="R202" s="6" t="str">
        <x:v>re-beam-simple-6m-mechanics</x:v>
      </x:c>
      <x:c r="S202" s="6" t="str">
        <x:v>无</x:v>
      </x:c>
      <x:c r="T202" s="6" t="str">
        <x:v>独立模型相对原场景的变化：将原铰滚简支改为两端固支，端弯矩与跨中挠度机理改变。旧附件须按本模型重绘，旧数值仅作对照。基础来源：beam-static-6m。多模态机制来源：re-beam-simple-6m-mechanics。</x:v>
      </x:c>
      <x:c r="U202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02" s="6" t="str">
        <x:v>基础工具；本题新增几何/属性与真值均待独立核验；材料截面代号须在本题附录定值。</x:v>
      </x:c>
      <x:c r="W202" s="6" t="str">
        <x:v>规划，待编题与验证</x:v>
      </x:c>
      <x:c r="X202" s="6" t="str">
        <x:v>OpenSees（按本题杆系与自由度建模的主选；现有工具链仍须逐题验证）。</x:v>
      </x:c>
      <x:c r="Y202" s="19" t="str">
        <x:v>OpenSees</x:v>
      </x:c>
      <x:c r="Z202" s="6" t="str">
        <x:v>双端固支均布梁为平面梁/刚架的直接力学建模与关键响应校核，规划OpenSees按实际杆段和约束组织分析；清晰单图需识别两固端，不能沿用简支约束。</x:v>
      </x:c>
      <x:c r="AA202" s="6" t="str">
        <x:v>跨中必须是连通观测点；核对两固端转角约束及端弯矩符号；执行后按原题完整输出：x=3m竖向位移、左端弯矩；附与数值一致的模型/结果图。本轮仅规划，不运行。</x:v>
      </x:c>
      <x:c r="AB202" s="6" t="str">
        <x:v>待逐题验证</x:v>
      </x:c>
      <x:c r="AC202" s="6" t="str">
        <x:v>尚未确认本题可通过；接口/求解/读回预检重点：跨中必须是连通观测点；核对两固端转角约束及端弯矩符号。特殊单元、轴向、边界及组合均不因OpenSees原生支持而视作已接通。</x:v>
      </x:c>
      <x:c r="AD202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跨向下20kN/m；未指定组合时仅算题定基本荷载，指定组合逐组执行，不能用软件默认包络替换。</x:v>
      </x:c>
      <x:c r="AE202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02" s="6" t="str">
        <x:v>OPS；COMMON</x:v>
      </x:c>
    </x:row>
    <x:row r="203" ht="94.5" customHeight="1">
      <x:c r="A203" s="14" t="str">
        <x:v>MM-002</x:v>
      </x:c>
      <x:c r="B203" s="11" t="str">
        <x:v>多模态逆向建模</x:v>
      </x:c>
      <x:c r="C203" s="18" t="str">
        <x:v>M-MM-002</x:v>
      </x:c>
      <x:c r="D203" s="11" t="str">
        <x:v>悬臂梁端部纯力矩：力学简图</x:v>
      </x:c>
      <x:c r="E203" s="11" t="str">
        <x:v>梁</x:v>
      </x:c>
      <x:c r="F203" s="18" t="str">
        <x:v>2D</x:v>
      </x:c>
      <x:c r="G203" s="11" t="str">
        <x:v>力学简图</x:v>
      </x:c>
      <x:c r="H203" s="18" t="str">
        <x:v>L1</x:v>
      </x:c>
      <x:c r="I203" s="11" t="str">
        <x:v>圆箭头和力矩单位是主要读图点，输入本身简单完整。</x:v>
      </x:c>
      <x:c r="J203" s="18" t="str">
        <x:v>英文</x:v>
      </x:c>
      <x:c r="K203" s="11" t="str">
        <x:v>新PNG独占本题几何尺寸、连接、支座与荷载图示；附录只给完整材料/截面及求解设置，不转写图内几何。所有新附件待制作、盲审与验证。</x:v>
      </x:c>
      <x:c r="L203" s="22" t="n">
        <x:v>1</x:v>
      </x:c>
      <x:c r="M203" s="11" t="str">
        <x:v>几何：3m水平悬臂梁；边界：左端固支、右端自由；荷载：右端施加全局Y轴+12kN·m纯力矩，无竖向点力；属性：统一钢材M1、截面B1。（本栏是编题规格，实际用户输入按图/表分工呈现。）</x:v>
      </x:c>
      <x:c r="N203" s="11" t="str">
        <x:v>圆箭头和力矩单位是主要读图点，输入本身简单完整。</x:v>
      </x:c>
      <x:c r="O203" s="11" t="str">
        <x:v>自由端竖向位移与转角、固端弯矩；附与数值一致的模型/结果图。</x:v>
      </x:c>
      <x:c r="P203" s="11" t="str">
        <x:v>模型核对：把端部竖向力改为纯力矩加载，形成不同弯矩分布。；数值/表述核对：自由端竖向位移与转角、固端弯矩，位置、方向、单位须一致。</x:v>
      </x:c>
      <x:c r="Q203" s="18" t="str">
        <x:v>新增</x:v>
      </x:c>
      <x:c r="R203" s="11" t="str">
        <x:v>无</x:v>
      </x:c>
      <x:c r="S203" s="11" t="str">
        <x:v>无</x:v>
      </x:c>
      <x:c r="T203" s="11" t="str">
        <x:v>独立模型相对原场景的变化：把端部竖向力改为纯力矩加载，形成不同弯矩分布。旧附件须按本模型重绘，旧数值仅作对照。基础来源：beam-cantilever-point-load。</x:v>
      </x:c>
      <x:c r="U203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03" s="11" t="str">
        <x:v>基础工具；本题新增几何/属性与真值均待独立核验；材料截面代号须在本题附录定值。节点力矩输入与符号契约待验证。</x:v>
      </x:c>
      <x:c r="W203" s="11" t="str">
        <x:v>规划，待编题与验证</x:v>
      </x:c>
      <x:c r="X203" s="11" t="str">
        <x:v>OpenSees（按本题杆系与自由度建模的主选；现有工具链仍须逐题验证）。</x:v>
      </x:c>
      <x:c r="Y203" s="18" t="str">
        <x:v>OpenSees</x:v>
      </x:c>
      <x:c r="Z203" s="11" t="str">
        <x:v>悬臂梁端部纯力矩为平面梁/刚架的直接力学建模与关键响应校核，规划OpenSees按实际杆段和约束组织分析；圆箭头和力矩单位是主要读图点，输入本身简单完整。</x:v>
      </x:c>
      <x:c r="AA203" s="11" t="str">
        <x:v>验证节点力矩通道和全局Y轴正号，不能以端力替代纯力矩；执行后按原题完整输出：自由端竖向位移与转角、固端弯矩；附与数值一致的模型/结果图。本轮仅规划，不运行。</x:v>
      </x:c>
      <x:c r="AB203" s="11" t="str">
        <x:v>待逐题验证</x:v>
      </x:c>
      <x:c r="AC203" s="11" t="str">
        <x:v>尚未确认本题可通过；接口/求解/读回预检重点：验证节点力矩通道和全局Y轴正号，不能以端力替代纯力矩。特殊单元、轴向、边界及组合均不因OpenSees原生支持而视作已接通。</x:v>
      </x:c>
      <x:c r="AD203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右端施加全局Y轴+12kN·m纯力矩，无竖向点力；未指定组合时仅算题定基本荷载，指定组合逐组执行，不能用软件默认包络替换。</x:v>
      </x:c>
      <x:c r="AE20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03" s="11" t="str">
        <x:v>OPS；COMMON</x:v>
      </x:c>
    </x:row>
    <x:row r="204" ht="94.5" customHeight="1">
      <x:c r="A204" s="15" t="str">
        <x:v>MM-003</x:v>
      </x:c>
      <x:c r="B204" s="6" t="str">
        <x:v>多模态逆向建模</x:v>
      </x:c>
      <x:c r="C204" s="19" t="str">
        <x:v>M-MM-003</x:v>
      </x:c>
      <x:c r="D204" s="6" t="str">
        <x:v>双侧外伸梁局部加载：工程标注图</x:v>
      </x:c>
      <x:c r="E204" s="6" t="str">
        <x:v>梁</x:v>
      </x:c>
      <x:c r="F204" s="19" t="str">
        <x:v>2D</x:v>
      </x:c>
      <x:c r="G204" s="6" t="str">
        <x:v>工程标注图</x:v>
      </x:c>
      <x:c r="H204" s="19" t="str">
        <x:v>L2</x:v>
      </x:c>
      <x:c r="I204" s="6" t="str">
        <x:v>双侧外伸、支承跨和局部线载需通过三条尺寸链分别定位。</x:v>
      </x:c>
      <x:c r="J204" s="19" t="str">
        <x:v>中文</x:v>
      </x:c>
      <x:c r="K204" s="6" t="str">
        <x:v>新工程PNG的总图/局部详图给本题几何、连接、支承和荷载位置；图中构件索引关联完整属性表，正文不重述拓扑。所有新附件待制作、盲审与验证。</x:v>
      </x:c>
      <x:c r="L204" s="23" t="n">
        <x:v>1</x:v>
      </x:c>
      <x:c r="M204" s="6" t="str">
        <x:v>几何：直梁x=0至8m，支座位于x=1、6m，左右均外伸；边界：x=1m铰、x=6m竖向滚支；荷载：x=1至6m向下15kN/m，右自由端向下10kN；属性：统一M1/B1。（本栏是编题规格，实际用户输入按图/表分工呈现。）</x:v>
      </x:c>
      <x:c r="N204" s="6" t="str">
        <x:v>双侧外伸、支承跨和局部线载需通过三条尺寸链分别定位。</x:v>
      </x:c>
      <x:c r="O204" s="6" t="str">
        <x:v>左右自由端竖向位移、x=6m支反力；附与数值一致的模型/结果图。</x:v>
      </x:c>
      <x:c r="P204" s="6" t="str">
        <x:v>模型核对：由单侧外伸变为双侧外伸，并将全长线载改为支承跨线载加端力。；数值/表述核对：左右自由端竖向位移、x=6m支反力，位置、方向、单位须一致。</x:v>
      </x:c>
      <x:c r="Q204" s="19" t="str">
        <x:v>新增</x:v>
      </x:c>
      <x:c r="R204" s="6" t="str">
        <x:v>无</x:v>
      </x:c>
      <x:c r="S204" s="6" t="str">
        <x:v>无</x:v>
      </x:c>
      <x:c r="T204" s="6" t="str">
        <x:v>独立模型相对原场景的变化：由单侧外伸变为双侧外伸，并将全长线载改为支承跨线载加端力。旧附件须按本模型重绘，旧数值仅作对照。基础来源：beam-overhanging-static。</x:v>
      </x:c>
      <x:c r="U204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04" s="6" t="str">
        <x:v>基础工具；本题新增几何/属性与真值均待独立核验；材料截面代号须在本题附录定值。</x:v>
      </x:c>
      <x:c r="W204" s="6" t="str">
        <x:v>规划，待编题与验证</x:v>
      </x:c>
      <x:c r="X204" s="6" t="str">
        <x:v>OpenSees（按本题杆系与自由度建模的主选；现有工具链仍须逐题验证）。</x:v>
      </x:c>
      <x:c r="Y204" s="19" t="str">
        <x:v>OpenSees</x:v>
      </x:c>
      <x:c r="Z204" s="6" t="str">
        <x:v>双侧外伸梁局部加载为平面梁/刚架的直接力学建模与关键响应校核，规划OpenSees按实际杆段和约束组织分析；双侧外伸、支承跨和局部线载需通过三条尺寸链分别定位。</x:v>
      </x:c>
      <x:c r="AA204" s="6" t="str">
        <x:v>按两实际支点保留双外伸段，区间线载分段后保持总力/力矩一致；执行后按原题完整输出：左右自由端竖向位移、x=6m支反力；附与数值一致的模型/结果图。本轮仅规划，不运行。</x:v>
      </x:c>
      <x:c r="AB204" s="6" t="str">
        <x:v>待逐题验证</x:v>
      </x:c>
      <x:c r="AC204" s="6" t="str">
        <x:v>尚未确认本题可通过；接口/求解/读回预检重点：按两实际支点保留双外伸段，区间线载分段后保持总力/力矩一致。特殊单元、轴向、边界及组合均不因OpenSees原生支持而视作已接通。</x:v>
      </x:c>
      <x:c r="AD204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x=1至6m向下15kN/m，右自由端向下10kN；未指定组合时仅算题定基本荷载，指定组合逐组执行，不能用软件默认包络替换。</x:v>
      </x:c>
      <x:c r="AE20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04" s="6" t="str">
        <x:v>OPS；COMMON</x:v>
      </x:c>
    </x:row>
    <x:row r="205" ht="108" customHeight="1">
      <x:c r="A205" s="14" t="str">
        <x:v>MM-004</x:v>
      </x:c>
      <x:c r="B205" s="11" t="str">
        <x:v>多模态逆向建模</x:v>
      </x:c>
      <x:c r="C205" s="18" t="str">
        <x:v>M-MM-004</x:v>
      </x:c>
      <x:c r="D205" s="11" t="str">
        <x:v>双区域线载与偏心点载梁：工程标注图</x:v>
      </x:c>
      <x:c r="E205" s="11" t="str">
        <x:v>梁</x:v>
      </x:c>
      <x:c r="F205" s="18" t="str">
        <x:v>2D</x:v>
      </x:c>
      <x:c r="G205" s="11" t="str">
        <x:v>工程标注图</x:v>
      </x:c>
      <x:c r="H205" s="18" t="str">
        <x:v>L3</x:v>
      </x:c>
      <x:c r="I205" s="11" t="str">
        <x:v>两个不相连加载区、点载与测点位置分别由图标记。</x:v>
      </x:c>
      <x:c r="J205" s="18" t="str">
        <x:v>英文</x:v>
      </x:c>
      <x:c r="K205" s="11" t="str">
        <x:v>新工程PNG的总图/局部详图给本题几何、连接、支承和荷载位置；图中构件索引关联完整属性表，正文不重述拓扑。所有新附件待制作、盲审与验证。</x:v>
      </x:c>
      <x:c r="L205" s="22" t="n">
        <x:v>1</x:v>
      </x:c>
      <x:c r="M205" s="11" t="str">
        <x:v>几何：12m直梁，在x=3、4、6、8m设分段/观测节点；边界：左铰右竖向滚支；荷载：x=0至3m向下15kN/m、x=8至12m向下9kN/m，x=4m向下50kN；属性：统一M1/B1。（本栏是编题规格，实际用户输入按图/表分工呈现。）</x:v>
      </x:c>
      <x:c r="N205" s="11" t="str">
        <x:v>两个不相连加载区、点载与测点位置分别由图标记。</x:v>
      </x:c>
      <x:c r="O205" s="11" t="str">
        <x:v>x=6m竖向位移、x=4m左右剪力；附与数值一致的模型/结果图。</x:v>
      </x:c>
      <x:c r="P205" s="11" t="str">
        <x:v>模型核对：全跨均布改为两段不相连线载，保留偏心点载形成新的加载模式。；数值/表述核对：x=6m竖向位移、x=4m左右剪力，位置、方向、单位须一致。</x:v>
      </x:c>
      <x:c r="Q205" s="18" t="str">
        <x:v>旧题改编</x:v>
      </x:c>
      <x:c r="R205" s="11" t="str">
        <x:v>re-beam-complex-12m-construction</x:v>
      </x:c>
      <x:c r="S205" s="11" t="str">
        <x:v>无</x:v>
      </x:c>
      <x:c r="T205" s="11" t="str">
        <x:v>独立模型相对原场景的变化：全跨均布改为两段不相连线载，保留偏心点载形成新的加载模式。旧附件须按本模型重绘，旧数值仅作对照。基础来源：std-beam-12m-combo-gt。多模态机制来源：re-beam-complex-12m-construction。</x:v>
      </x:c>
      <x:c r="U205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05" s="11" t="str">
        <x:v>基础工具；本题新增几何/属性与真值均待独立核验；材料截面代号须在本题附录定值。</x:v>
      </x:c>
      <x:c r="W205" s="11" t="str">
        <x:v>规划，待编题与验证</x:v>
      </x:c>
      <x:c r="X205" s="11" t="str">
        <x:v>OpenSees（按本题杆系与自由度建模的主选；现有工具链仍须逐题验证）。</x:v>
      </x:c>
      <x:c r="Y205" s="18" t="str">
        <x:v>OpenSees</x:v>
      </x:c>
      <x:c r="Z205" s="11" t="str">
        <x:v>双区域线载与偏心点载梁为平面梁/刚架的直接力学建模与关键响应校核，规划OpenSees按实际杆段和约束组织分析；两个不相连加载区、点载与测点位置分别由图标记。</x:v>
      </x:c>
      <x:c r="AA205" s="11" t="str">
        <x:v>在两加载区边界及x=4m集中力处切分；分别读取点载两侧剪力；执行后按原题完整输出：x=6m竖向位移、x=4m左右剪力；附与数值一致的模型/结果图。本轮仅规划，不运行。</x:v>
      </x:c>
      <x:c r="AB205" s="11" t="str">
        <x:v>待逐题验证</x:v>
      </x:c>
      <x:c r="AC205" s="11" t="str">
        <x:v>尚未确认本题可通过；接口/求解/读回预检重点：在两加载区边界及x=4m集中力处切分；分别读取点载两侧剪力。特殊单元、轴向、边界及组合均不因OpenSees原生支持而视作已接通。</x:v>
      </x:c>
      <x:c r="AD205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x=0至3m向下15kN/m、x=8至12m向下9kN/m，x=4m向下50kN；未指定组合时仅算题定基本荷载，指定组合逐组执行，不能用软件默认包络替换。</x:v>
      </x:c>
      <x:c r="AE20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05" s="11" t="str">
        <x:v>OPS；COMMON</x:v>
      </x:c>
    </x:row>
    <x:row r="206" ht="94.5" customHeight="1">
      <x:c r="A206" s="15" t="str">
        <x:v>MM-005</x:v>
      </x:c>
      <x:c r="B206" s="6" t="str">
        <x:v>多模态逆向建模</x:v>
      </x:c>
      <x:c r="C206" s="19" t="str">
        <x:v>M-MM-005</x:v>
      </x:c>
      <x:c r="D206" s="6" t="str">
        <x:v>跨中点载撑杆式梁：力学简图</x:v>
      </x:c>
      <x:c r="E206" s="6" t="str">
        <x:v>梁</x:v>
      </x:c>
      <x:c r="F206" s="19" t="str">
        <x:v>2D</x:v>
      </x:c>
      <x:c r="G206" s="6" t="str">
        <x:v>力学简图</x:v>
      </x:c>
      <x:c r="H206" s="19" t="str">
        <x:v>L1</x:v>
      </x:c>
      <x:c r="I206" s="6" t="str">
        <x:v>单一荷载、单幅清晰图；须区分左固端和右滚支。</x:v>
      </x:c>
      <x:c r="J206" s="19" t="str">
        <x:v>中文</x:v>
      </x:c>
      <x:c r="K206" s="6" t="str">
        <x:v>新PNG独占本题几何尺寸、连接、支座与荷载图示；附录只给完整材料/截面及求解设置，不转写图内几何。所有新附件待制作、盲审与验证。</x:v>
      </x:c>
      <x:c r="L206" s="23" t="n">
        <x:v>1</x:v>
      </x:c>
      <x:c r="M206" s="6" t="str">
        <x:v>几何：4m直梁，跨中设相连节点；边界：左端固支、右端竖向滚支；荷载：跨中向下25kN；属性：统一钢材M1/B1。（本栏是编题规格，实际用户输入按图/表分工呈现。）</x:v>
      </x:c>
      <x:c r="N206" s="6" t="str">
        <x:v>单一荷载、单幅清晰图；须区分左固端和右滚支。</x:v>
      </x:c>
      <x:c r="O206" s="6" t="str">
        <x:v>跨中竖向位移、左端弯矩及右反力；附与数值一致的模型/结果图。</x:v>
      </x:c>
      <x:c r="P206" s="6" t="str">
        <x:v>模型核对：由铰滚简支变为一端固定一端竖向支承，形成超静定边界。；数值/表述核对：跨中竖向位移、左端弯矩及右反力，位置、方向、单位须一致。</x:v>
      </x:c>
      <x:c r="Q206" s="19" t="str">
        <x:v>新增</x:v>
      </x:c>
      <x:c r="R206" s="6" t="str">
        <x:v>无</x:v>
      </x:c>
      <x:c r="S206" s="6" t="str">
        <x:v>无</x:v>
      </x:c>
      <x:c r="T206" s="6" t="str">
        <x:v>独立模型相对原场景的变化：由铰滚简支变为一端固定一端竖向支承，形成超静定边界。旧附件须按本模型重绘，旧数值仅作对照。基础来源：std-beam-4m-point-mid。</x:v>
      </x:c>
      <x:c r="U206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06" s="6" t="str">
        <x:v>基础工具；本题新增几何/属性与真值均待独立核验；材料截面代号须在本题附录定值。</x:v>
      </x:c>
      <x:c r="W206" s="6" t="str">
        <x:v>规划，待编题与验证</x:v>
      </x:c>
      <x:c r="X206" s="6" t="str">
        <x:v>OpenSees（按本题杆系与自由度建模的主选；现有工具链仍须逐题验证）。</x:v>
      </x:c>
      <x:c r="Y206" s="19" t="str">
        <x:v>OpenSees</x:v>
      </x:c>
      <x:c r="Z206" s="6" t="str">
        <x:v>跨中点载撑杆式梁为平面梁/刚架的直接力学建模与关键响应校核，规划OpenSees按实际杆段和约束组织分析；单一荷载、单幅清晰图；须区分左固端和右滚支。</x:v>
      </x:c>
      <x:c r="AA206" s="6" t="str">
        <x:v>右支座只锁竖向，左端锁转角；跨中点载节点连接两侧梁；执行后按原题完整输出：跨中竖向位移、左端弯矩及右反力；附与数值一致的模型/结果图。本轮仅规划，不运行。</x:v>
      </x:c>
      <x:c r="AB206" s="6" t="str">
        <x:v>待逐题验证</x:v>
      </x:c>
      <x:c r="AC206" s="6" t="str">
        <x:v>尚未确认本题可通过；接口/求解/读回预检重点：右支座只锁竖向，左端锁转角；跨中点载节点连接两侧梁。特殊单元、轴向、边界及组合均不因OpenSees原生支持而视作已接通。</x:v>
      </x:c>
      <x:c r="AD206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跨中向下25kN；未指定组合时仅算题定基本荷载，指定组合逐组执行，不能用软件默认包络替换。</x:v>
      </x:c>
      <x:c r="AE20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06" s="6" t="str">
        <x:v>OPS；COMMON</x:v>
      </x:c>
    </x:row>
    <x:row r="207" ht="94.5" customHeight="1">
      <x:c r="A207" s="14" t="str">
        <x:v>MM-006</x:v>
      </x:c>
      <x:c r="B207" s="11" t="str">
        <x:v>多模态逆向建模</x:v>
      </x:c>
      <x:c r="C207" s="18" t="str">
        <x:v>M-MM-006</x:v>
      </x:c>
      <x:c r="D207" s="11" t="str">
        <x:v>三点加载简支梁及摘要：工程标注图</x:v>
      </x:c>
      <x:c r="E207" s="11" t="str">
        <x:v>梁</x:v>
      </x:c>
      <x:c r="F207" s="18" t="str">
        <x:v>2D</x:v>
      </x:c>
      <x:c r="G207" s="11" t="str">
        <x:v>工程标注图</x:v>
      </x:c>
      <x:c r="H207" s="18" t="str">
        <x:v>L2</x:v>
      </x:c>
      <x:c r="I207" s="11" t="str">
        <x:v>三处点载和独立测点需与报告输出一一对应。</x:v>
      </x:c>
      <x:c r="J207" s="18" t="str">
        <x:v>英文</x:v>
      </x:c>
      <x:c r="K207" s="11" t="str">
        <x:v>新工程PNG的总图/局部详图给本题几何、连接、支承和荷载位置；图中构件索引关联完整属性表，正文不重述拓扑。所有新附件待制作、盲审与验证。</x:v>
      </x:c>
      <x:c r="L207" s="22" t="n">
        <x:v>1</x:v>
      </x:c>
      <x:c r="M207" s="11" t="str">
        <x:v>几何：8m水平直梁，在x=2、4、6m设相连节点；边界：左铰右竖向滚支；荷载：三节点依次向下18、30、12kN，无线载；属性：统一M1/B1。（本栏是编题规格，实际用户输入按图/表分工呈现。）</x:v>
      </x:c>
      <x:c r="N207" s="11" t="str">
        <x:v>三处点载和独立测点需与报告输出一一对应。</x:v>
      </x:c>
      <x:c r="O207" s="11" t="str">
        <x:v>x=2、4m竖向位移、左支反力；附与数值一致的模型/结果图。</x:v>
      </x:c>
      <x:c r="P207" s="11" t="str">
        <x:v>模型核对：将均布载替换为不对称三点载，荷载类型和弯剪分布均不同。；数值/表述核对：x=2、4m竖向位移、左支反力，位置、方向、单位须一致。</x:v>
      </x:c>
      <x:c r="Q207" s="18" t="str">
        <x:v>旧题改编</x:v>
      </x:c>
      <x:c r="R207" s="11" t="str">
        <x:v>image-with-report</x:v>
      </x:c>
      <x:c r="S207" s="11" t="str">
        <x:v>无</x:v>
      </x:c>
      <x:c r="T207" s="11" t="str">
        <x:v>独立模型相对原场景的变化：将均布载替换为不对称三点载，荷载类型和弯剪分布均不同。旧附件须按本模型重绘，旧数值仅作对照。基础来源：beam-static-with-report。多模态机制来源：image-with-report。</x:v>
      </x:c>
      <x:c r="U207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07" s="11" t="str">
        <x:v>基础工具；本题新增几何/属性与真值均待独立核验；材料截面代号须在本题附录定值。</x:v>
      </x:c>
      <x:c r="W207" s="11" t="str">
        <x:v>规划，待编题与验证</x:v>
      </x:c>
      <x:c r="X207" s="11" t="str">
        <x:v>OpenSees（按本题杆系与自由度建模的主选；现有工具链仍须逐题验证）。</x:v>
      </x:c>
      <x:c r="Y207" s="18" t="str">
        <x:v>OpenSees</x:v>
      </x:c>
      <x:c r="Z207" s="11" t="str">
        <x:v>三点加载简支梁及摘要为平面梁/刚架的直接力学建模与关键响应校核，规划OpenSees按实际杆段和约束组织分析；三处点载和独立测点需与报告输出一一对应。</x:v>
      </x:c>
      <x:c r="AA207" s="11" t="str">
        <x:v>三个点载保持独立节点与力值，不折成均布荷载；执行后按原题完整输出：x=2、4m竖向位移、左支反力；附与数值一致的模型/结果图。本轮仅规划，不运行。</x:v>
      </x:c>
      <x:c r="AB207" s="11" t="str">
        <x:v>待逐题验证</x:v>
      </x:c>
      <x:c r="AC207" s="11" t="str">
        <x:v>尚未确认本题可通过；接口/求解/读回预检重点：三个点载保持独立节点与力值，不折成均布荷载。特殊单元、轴向、边界及组合均不因OpenSees原生支持而视作已接通。</x:v>
      </x:c>
      <x:c r="AD207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三节点依次向下18、30、12kN，无线载；未指定组合时仅算题定基本荷载，指定组合逐组执行，不能用软件默认包络替换。</x:v>
      </x:c>
      <x:c r="AE20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07" s="11" t="str">
        <x:v>OPS；COMMON</x:v>
      </x:c>
    </x:row>
    <x:row r="208" ht="94.5" customHeight="1">
      <x:c r="A208" s="15" t="str">
        <x:v>MM-007</x:v>
      </x:c>
      <x:c r="B208" s="6" t="str">
        <x:v>多模态逆向建模</x:v>
      </x:c>
      <x:c r="C208" s="19" t="str">
        <x:v>M-MM-007</x:v>
      </x:c>
      <x:c r="D208" s="6" t="str">
        <x:v>倾斜简支梁模糊荷载补图：缺失/质量澄清</x:v>
      </x:c>
      <x:c r="E208" s="6" t="str">
        <x:v>梁</x:v>
      </x:c>
      <x:c r="F208" s="19" t="str">
        <x:v>2D</x:v>
      </x:c>
      <x:c r="G208" s="6" t="str">
        <x:v>缺失/质量澄清</x:v>
      </x:c>
      <x:c r="H208" s="19" t="str">
        <x:v>L2</x:v>
      </x:c>
      <x:c r="I208" s="6" t="str">
        <x:v>先确认模糊的点载值，再恢复斜梁与全局竖向荷载。</x:v>
      </x:c>
      <x:c r="J208" s="19" t="str">
        <x:v>中文</x:v>
      </x:c>
      <x:c r="K208" s="6" t="str">
        <x:v>第1轮PNG只遮蔽中点力的15kN数值，其余几何/支座清楚；载荷值不在正文/表格重复。第2轮给清晰局部图明确全局Z向-15kN。材料截面与其余求解设置完整另附。所有新附件待制作、盲审与验证。</x:v>
      </x:c>
      <x:c r="L208" s="23" t="n">
        <x:v>2</x:v>
      </x:c>
      <x:c r="M208" s="6" t="str">
        <x:v>几何：梁端全局XZ坐标(0,0)、(6,2)m，几何中点为(3,1)m；边界：左端铰、右端仅约束竖向；荷载：中点全局Z向-15kN；属性：统一M1/B1，局部轴按附录。（本栏是编题规格，实际用户输入按图/表分工呈现。）</x:v>
      </x:c>
      <x:c r="N208" s="6" t="str">
        <x:v>先确认模糊的点载值，再恢复斜梁与全局竖向荷载。</x:v>
      </x:c>
      <x:c r="O208" s="6" t="str">
        <x:v>补图后中点Ux/Uz、右端竖向反力；附与数值一致的模型/结果图。</x:v>
      </x:c>
      <x:c r="P208" s="6" t="str">
        <x:v>模型核对：由水平均布梁改成倾斜梁中点力，改变几何、方向投影与加载类型。；数值/表述核对：补图后中点Ux/Uz、右端竖向反力，位置、方向、单位须一致。首轮另查澄清是否针对指定缺项；允许有证据的正确推导。</x:v>
      </x:c>
      <x:c r="Q208" s="19" t="str">
        <x:v>旧题改编</x:v>
      </x:c>
      <x:c r="R208" s="6" t="str">
        <x:v>image-unclear-quality</x:v>
      </x:c>
      <x:c r="S208" s="6" t="str">
        <x:v>无</x:v>
      </x:c>
      <x:c r="T208" s="6" t="str">
        <x:v>独立模型相对原场景的变化：由水平均布梁改成倾斜梁中点力，改变几何、方向投影与加载类型。旧附件须按本模型重绘，旧数值仅作对照。基础来源：beam-simply-supported-en。多模态机制来源：image-unclear-quality。</x:v>
      </x:c>
      <x:c r="U208" s="6" t="str">
        <x:v>独立建立并复核OpenSees参考模型，固定版本/求解设置及观测位置；以适用解析解或独立刚度法交叉校核位移、内力和整体平衡。不把展示层插值或图像读数直接当数值真值。首轮缺项/冲突仍只评价澄清；信息补齐后才执行最终模型并比对同一引擎参考。</x:v>
      </x:c>
      <x:c r="V208" s="6" t="str">
        <x:v>基础工具；本题新增几何/属性与真值均待独立核验；材料截面代号须在本题附录定值。斜杆全局荷载和局部轴适配待验证。</x:v>
      </x:c>
      <x:c r="W208" s="6" t="str">
        <x:v>规划，待编题与验证</x:v>
      </x:c>
      <x:c r="X208" s="6" t="str">
        <x:v>OpenSees（按本题杆系与自由度建模的主选；现有工具链仍须逐题验证）。</x:v>
      </x:c>
      <x:c r="Y208" s="19" t="str">
        <x:v>OpenSees</x:v>
      </x:c>
      <x:c r="Z208" s="6" t="str">
        <x:v>倾斜简支梁模糊荷载补图为平面梁/刚架的直接力学建模与关键响应校核，规划OpenSees按实际杆段和约束组织分析；先确认模糊的点载值，再恢复斜梁与全局竖向荷载。</x:v>
      </x:c>
      <x:c r="AA208" s="6" t="str">
        <x:v>补清载荷后再执行；验证倾斜杆全局力映射和中点Ux/Uz读回；执行后按原题完整输出：补图后中点Ux/Uz、右端竖向反力；附与数值一致的模型/结果图。本轮仅规划，不运行。</x:v>
      </x:c>
      <x:c r="AB208" s="6" t="str">
        <x:v>待逐题验证</x:v>
      </x:c>
      <x:c r="AC208" s="6" t="str">
        <x:v>尚未确认本题可通过；接口/求解/读回预检重点：补清载荷后再执行；验证倾斜杆全局力映射和中点Ux/Uz读回。特殊单元、轴向、边界及组合均不因OpenSees原生支持而视作已接通。</x:v>
      </x:c>
      <x:c r="AD208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中点全局Z向-15kN；未指定组合时仅算题定基本荷载，指定组合逐组执行，不能用软件默认包络替换。</x:v>
      </x:c>
      <x:c r="AE20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08" s="6" t="str">
        <x:v>OPS；COMMON</x:v>
      </x:c>
    </x:row>
    <x:row r="209" ht="94.5" customHeight="1">
      <x:c r="A209" s="14" t="str">
        <x:v>MM-008</x:v>
      </x:c>
      <x:c r="B209" s="11" t="str">
        <x:v>多模态逆向建模</x:v>
      </x:c>
      <x:c r="C209" s="18" t="str">
        <x:v>M-MM-008</x:v>
      </x:c>
      <x:c r="D209" s="11" t="str">
        <x:v>两个分离荷载区的简支梁：结构DXF</x:v>
      </x:c>
      <x:c r="E209" s="11" t="str">
        <x:v>梁</x:v>
      </x:c>
      <x:c r="F209" s="18" t="str">
        <x:v>2D</x:v>
      </x:c>
      <x:c r="G209" s="11" t="str">
        <x:v>结构DXF</x:v>
      </x:c>
      <x:c r="H209" s="18" t="str">
        <x:v>L2</x:v>
      </x:c>
      <x:c r="I209" s="11" t="str">
        <x:v>DXF中两个载荷区框是注释，空白中段仍为连续梁。</x:v>
      </x:c>
      <x:c r="J209" s="18" t="str">
        <x:v>英文</x:v>
      </x:c>
      <x:c r="K209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09" s="22" t="n">
        <x:v>1</x:v>
      </x:c>
      <x:c r="M209" s="11" t="str">
        <x:v>几何：9m直梁，分界x=3、6m，中点x=4.5m；边界：左铰右竖向滚支；荷载：左三米向下12kN/m，右三米向下6kN/m，中段无载；属性：统一M1/B1。（本栏是编题规格，实际用户输入按图/表分工呈现。）</x:v>
      </x:c>
      <x:c r="N209" s="11" t="str">
        <x:v>DXF中两个载荷区框是注释，空白中段仍为连续梁。</x:v>
      </x:c>
      <x:c r="O209" s="11" t="str">
        <x:v>x=4.5m竖向位移、两支反力；附与数值一致的模型/结果图。</x:v>
      </x:c>
      <x:c r="P209" s="11" t="str">
        <x:v>模型核对：单一中段局部载改为两个外侧分离加载区，中段转为无载。；数值/表述核对：x=4.5m竖向位移、两支反力，位置、方向、单位须一致。</x:v>
      </x:c>
      <x:c r="Q209" s="18" t="str">
        <x:v>新增</x:v>
      </x:c>
      <x:c r="R209" s="11" t="str">
        <x:v>无</x:v>
      </x:c>
      <x:c r="S209" s="11" t="str">
        <x:v>无</x:v>
      </x:c>
      <x:c r="T209" s="11" t="str">
        <x:v>独立模型相对原场景的变化：单一中段局部载改为两个外侧分离加载区，中段转为无载。旧附件须按本模型重绘，旧数值仅作对照。</x:v>
      </x:c>
      <x:c r="U209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09" s="11" t="str">
        <x:v>基础工具；本题新增几何/属性与真值均待独立核验；材料截面代号须在本题附录定值。</x:v>
      </x:c>
      <x:c r="W209" s="11" t="str">
        <x:v>规划，待编题与验证</x:v>
      </x:c>
      <x:c r="X209" s="11" t="str">
        <x:v>OpenSees（按本题杆系与自由度建模的主选；现有工具链仍须逐题验证）。</x:v>
      </x:c>
      <x:c r="Y209" s="18" t="str">
        <x:v>OpenSees</x:v>
      </x:c>
      <x:c r="Z209" s="11" t="str">
        <x:v>两个分离荷载区的简支梁为平面梁/刚架的直接力学建模与关键响应校核，规划OpenSees按实际杆段和约束组织分析；DXF中两个载荷区框是注释，空白中段仍为连续梁。</x:v>
      </x:c>
      <x:c r="AA209" s="11" t="str">
        <x:v>只给左右加载段施载，中间段保留；跨中内部位移须经验证恢复或连通节点读取；执行后按原题完整输出：x=4.5m竖向位移、两支反力；附与数值一致的模型/结果图。本轮仅规划，不运行。</x:v>
      </x:c>
      <x:c r="AB209" s="11" t="str">
        <x:v>待逐题验证</x:v>
      </x:c>
      <x:c r="AC209" s="11" t="str">
        <x:v>尚未确认本题可通过；接口/求解/读回预检重点：只给左右加载段施载，中间段保留；跨中内部位移须经验证恢复或连通节点读取。特殊单元、轴向、边界及组合均不因OpenSees原生支持而视作已接通。</x:v>
      </x:c>
      <x:c r="AD209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左三米向下12kN/m，右三米向下6kN/m，中段无载；未指定组合时仅算题定基本荷载，指定组合逐组执行，不能用软件默认包络替换。</x:v>
      </x:c>
      <x:c r="AE20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09" s="11" t="str">
        <x:v>OPS；COMMON</x:v>
      </x:c>
    </x:row>
    <x:row r="210" ht="108" customHeight="1">
      <x:c r="A210" s="15" t="str">
        <x:v>MM-009</x:v>
      </x:c>
      <x:c r="B210" s="6" t="str">
        <x:v>多模态逆向建模</x:v>
      </x:c>
      <x:c r="C210" s="19" t="str">
        <x:v>M-MM-009</x:v>
      </x:c>
      <x:c r="D210" s="6" t="str">
        <x:v>反向点力与跨内力矩梁：工程标注图</x:v>
      </x:c>
      <x:c r="E210" s="6" t="str">
        <x:v>梁</x:v>
      </x:c>
      <x:c r="F210" s="19" t="str">
        <x:v>2D</x:v>
      </x:c>
      <x:c r="G210" s="6" t="str">
        <x:v>工程标注图</x:v>
      </x:c>
      <x:c r="H210" s="19" t="str">
        <x:v>L2</x:v>
      </x:c>
      <x:c r="I210" s="6" t="str">
        <x:v>两相反箭头与圆箭头量纲不同，不能合成一个竖向力。</x:v>
      </x:c>
      <x:c r="J210" s="19" t="str">
        <x:v>中文</x:v>
      </x:c>
      <x:c r="K210" s="6" t="str">
        <x:v>新工程PNG的总图/局部详图给本题几何、连接、支承和荷载位置；图中构件索引关联完整属性表，正文不重述拓扑。所有新附件待制作、盲审与验证。</x:v>
      </x:c>
      <x:c r="L210" s="23" t="n">
        <x:v>1</x:v>
      </x:c>
      <x:c r="M210" s="6" t="str">
        <x:v>几何：10m水平直梁，节点x=2、5、7m；边界：左铰右竖向滚支；荷载：x=2m向上30kN、x=7m向下45kN，x=5m施加全局Y轴+15kN·m；属性：统一M1/B1。（本栏是编题规格，实际用户输入按图/表分工呈现。）</x:v>
      </x:c>
      <x:c r="N210" s="6" t="str">
        <x:v>两相反箭头与圆箭头量纲不同，不能合成一个竖向力。</x:v>
      </x:c>
      <x:c r="O210" s="6" t="str">
        <x:v>x=5m竖向位移、该点两侧弯矩；附与数值一致的模型/结果图。</x:v>
      </x:c>
      <x:c r="P210" s="6" t="str">
        <x:v>模型核对：原两处同向点载改为反向点力并增加跨内节点力矩。；数值/表述核对：x=5m竖向位移、该点两侧弯矩，位置、方向、单位须一致。</x:v>
      </x:c>
      <x:c r="Q210" s="19" t="str">
        <x:v>新增</x:v>
      </x:c>
      <x:c r="R210" s="6" t="str">
        <x:v>无</x:v>
      </x:c>
      <x:c r="S210" s="6" t="str">
        <x:v>无</x:v>
      </x:c>
      <x:c r="T210" s="6" t="str">
        <x:v>独立模型相对原场景的变化：原两处同向点载改为反向点力并增加跨内节点力矩。旧附件须按本模型重绘，旧数值仅作对照。</x:v>
      </x:c>
      <x:c r="U210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0" s="6" t="str">
        <x:v>基础工具；本题新增几何/属性与真值均待独立核验；材料截面代号须在本题附录定值。节点力矩输入与符号契约待验证。</x:v>
      </x:c>
      <x:c r="W210" s="6" t="str">
        <x:v>规划，待编题与验证</x:v>
      </x:c>
      <x:c r="X210" s="6" t="str">
        <x:v>OpenSees（按本题杆系与自由度建模的主选；现有工具链仍须逐题验证）。</x:v>
      </x:c>
      <x:c r="Y210" s="19" t="str">
        <x:v>OpenSees</x:v>
      </x:c>
      <x:c r="Z210" s="6" t="str">
        <x:v>反向点力与跨内力矩梁为平面梁/刚架的直接力学建模与关键响应校核，规划OpenSees按实际杆段和约束组织分析；两相反箭头与圆箭头量纲不同，不能合成一个竖向力。</x:v>
      </x:c>
      <x:c r="AA210" s="6" t="str">
        <x:v>同时核对上/下点力与节点力矩；弯矩跳变按统一符号读回；执行后按原题完整输出：x=5m竖向位移、该点两侧弯矩；附与数值一致的模型/结果图。本轮仅规划，不运行。</x:v>
      </x:c>
      <x:c r="AB210" s="6" t="str">
        <x:v>待逐题验证</x:v>
      </x:c>
      <x:c r="AC210" s="6" t="str">
        <x:v>尚未确认本题可通过；接口/求解/读回预检重点：同时核对上/下点力与节点力矩；弯矩跳变按统一符号读回。特殊单元、轴向、边界及组合均不因OpenSees原生支持而视作已接通。</x:v>
      </x:c>
      <x:c r="AD210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x=2m向上30kN、x=7m向下45kN，x=5m施加全局Y轴+15kN·m；未指定组合时仅算题定基本荷载，指定组合逐组执行，不能用软件默认包络替换。</x:v>
      </x:c>
      <x:c r="AE210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0" s="6" t="str">
        <x:v>OPS；COMMON</x:v>
      </x:c>
    </x:row>
    <x:row r="211" ht="108" customHeight="1">
      <x:c r="A211" s="14" t="str">
        <x:v>MM-010</x:v>
      </x:c>
      <x:c r="B211" s="11" t="str">
        <x:v>多模态逆向建模</x:v>
      </x:c>
      <x:c r="C211" s="18" t="str">
        <x:v>M-MM-010</x:v>
      </x:c>
      <x:c r="D211" s="11" t="str">
        <x:v>固支梁交错属性与区域工况：图表联合</x:v>
      </x:c>
      <x:c r="E211" s="11" t="str">
        <x:v>梁</x:v>
      </x:c>
      <x:c r="F211" s="18" t="str">
        <x:v>2D</x:v>
      </x:c>
      <x:c r="G211" s="11" t="str">
        <x:v>图表联合</x:v>
      </x:c>
      <x:c r="H211" s="18" t="str">
        <x:v>L3</x:v>
      </x:c>
      <x:c r="I211" s="11" t="str">
        <x:v>截面分界与加载区相互对应，需保留两个工况和各自范围。</x:v>
      </x:c>
      <x:c r="J211" s="18" t="str">
        <x:v>英文</x:v>
      </x:c>
      <x:c r="K211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11" s="22" t="n">
        <x:v>1</x:v>
      </x:c>
      <x:c r="M211" s="11" t="str">
        <x:v>几何：8m直梁，x=2、6m分段；边界：两端固支；荷载：D仅x=2至6m向下8kN/m，L仅两端各2m向下6kN/m，组合D及D+L；属性：两端段B1、中段B2，同一材料M1。（本栏是编题规格，实际用户输入按图/表分工呈现。）</x:v>
      </x:c>
      <x:c r="N211" s="11" t="str">
        <x:v>截面分界与加载区相互对应，需保留两个工况和各自范围。</x:v>
      </x:c>
      <x:c r="O211" s="11" t="str">
        <x:v>两组合x=4m竖向位移、左端弯矩；附与数值一致的模型/结果图。</x:v>
      </x:c>
      <x:c r="P211" s="11" t="str">
        <x:v>模型核对：由全跨D加左半L改为中段D与两端L，同时形成中段异截面。；数值/表述核对：两组合x=4m竖向位移、左端弯矩，位置、方向、单位须一致。</x:v>
      </x:c>
      <x:c r="Q211" s="18" t="str">
        <x:v>新增</x:v>
      </x:c>
      <x:c r="R211" s="11" t="str">
        <x:v>无</x:v>
      </x:c>
      <x:c r="S211" s="11" t="str">
        <x:v>无</x:v>
      </x:c>
      <x:c r="T211" s="11" t="str">
        <x:v>独立模型相对原场景的变化：由全跨D加左半L改为中段D与两端L，同时形成中段异截面。旧附件须按本模型重绘，旧数值仅作对照。</x:v>
      </x:c>
      <x:c r="U211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1" s="11" t="str">
        <x:v>基础工具；本题新增几何/属性与真值均待独立核验；材料截面代号须在本题附录定值。多组合执行契约待验证（D与D+L分别执行、保存和取值）。</x:v>
      </x:c>
      <x:c r="W211" s="11" t="str">
        <x:v>规划，待编题与验证</x:v>
      </x:c>
      <x:c r="X211" s="11" t="str">
        <x:v>OpenSees（按本题杆系与自由度建模的主选；现有工具链仍须逐题验证）。</x:v>
      </x:c>
      <x:c r="Y211" s="18" t="str">
        <x:v>OpenSees</x:v>
      </x:c>
      <x:c r="Z211" s="11" t="str">
        <x:v>固支梁交错属性与区域工况为平面梁/刚架的直接力学建模与关键响应校核，规划OpenSees按实际杆段和约束组织分析；截面分界与加载区相互对应，需保留两个工况和各自范围。</x:v>
      </x:c>
      <x:c r="AA211" s="11" t="str">
        <x:v>分别存储D和L，再按D及D+L独立出结果；三段截面不混用；执行后按原题完整输出：两组合x=4m竖向位移、左端弯矩；附与数值一致的模型/结果图。本轮仅规划，不运行。</x:v>
      </x:c>
      <x:c r="AB211" s="11" t="str">
        <x:v>待逐题验证</x:v>
      </x:c>
      <x:c r="AC211" s="11" t="str">
        <x:v>尚未确认本题可通过；接口/求解/读回预检重点：分别存储D和L，再按D及D+L独立出结果；三段截面不混用。特殊单元、轴向、边界及组合均不因OpenSees原生支持而视作已接通。</x:v>
      </x:c>
      <x:c r="AD211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D仅x=2至6m向下8kN/m，L仅两端各2m向下6kN/m，组合D及D+L；未指定组合时仅算题定基本荷载，指定组合逐组执行，不能用软件默认包络替换。</x:v>
      </x:c>
      <x:c r="AE211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1" s="11" t="str">
        <x:v>OPS；COMMON</x:v>
      </x:c>
    </x:row>
    <x:row r="212" ht="94.5" customHeight="1">
      <x:c r="A212" s="15" t="str">
        <x:v>MM-011</x:v>
      </x:c>
      <x:c r="B212" s="6" t="str">
        <x:v>多模态逆向建模</x:v>
      </x:c>
      <x:c r="C212" s="19" t="str">
        <x:v>M-MM-011</x:v>
      </x:c>
      <x:c r="D212" s="6" t="str">
        <x:v>中间撑点加右端外伸梁：力学简图</x:v>
      </x:c>
      <x:c r="E212" s="6" t="str">
        <x:v>梁</x:v>
      </x:c>
      <x:c r="F212" s="19" t="str">
        <x:v>2D</x:v>
      </x:c>
      <x:c r="G212" s="6" t="str">
        <x:v>力学简图</x:v>
      </x:c>
      <x:c r="H212" s="19" t="str">
        <x:v>L2</x:v>
      </x:c>
      <x:c r="I212" s="6" t="str">
        <x:v>图上撑点不在梁末端，需识别穿过支座的连续杆件。</x:v>
      </x:c>
      <x:c r="J212" s="19" t="str">
        <x:v>中文</x:v>
      </x:c>
      <x:c r="K212" s="6" t="str">
        <x:v>新PNG独占本题几何尺寸、连接、支座与荷载图示；附录只给完整材料/截面及求解设置，不转写图内几何。所有新附件待制作、盲审与验证。</x:v>
      </x:c>
      <x:c r="L212" s="23" t="n">
        <x:v>1</x:v>
      </x:c>
      <x:c r="M212" s="6" t="str">
        <x:v>几何：直梁x=0至7m，竖向撑点在x=4m，右侧3m外伸；边界：左固端、x=4m竖向滚支；荷载：全长向下10kN/m，右自由端向下20kN；属性：统一M1/B1。（本栏是编题规格，实际用户输入按图/表分工呈现。）</x:v>
      </x:c>
      <x:c r="N212" s="6" t="str">
        <x:v>图上撑点不在梁末端，需识别穿过支座的连续杆件。</x:v>
      </x:c>
      <x:c r="O212" s="6" t="str">
        <x:v>右端竖向位移、x=4m反力及左端弯矩；附与数值一致的模型/结果图。</x:v>
      </x:c>
      <x:c r="P212" s="6" t="str">
        <x:v>模型核对：将末端撑点移入梁内，产生固定端—撑点—自由外伸端三段受力关系。；数值/表述核对：右端竖向位移、x=4m反力及左端弯矩，位置、方向、单位须一致。</x:v>
      </x:c>
      <x:c r="Q212" s="19" t="str">
        <x:v>新增</x:v>
      </x:c>
      <x:c r="R212" s="6" t="str">
        <x:v>无</x:v>
      </x:c>
      <x:c r="S212" s="6" t="str">
        <x:v>无</x:v>
      </x:c>
      <x:c r="T212" s="6" t="str">
        <x:v>独立模型相对原场景的变化：将末端撑点移入梁内，产生固定端—撑点—自由外伸端三段受力关系。旧附件须按本模型重绘，旧数值仅作对照。</x:v>
      </x:c>
      <x:c r="U212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2" s="6" t="str">
        <x:v>基础工具；本题新增几何/属性与真值均待独立核验；材料截面代号须在本题附录定值。</x:v>
      </x:c>
      <x:c r="W212" s="6" t="str">
        <x:v>规划，待编题与验证</x:v>
      </x:c>
      <x:c r="X212" s="6" t="str">
        <x:v>OpenSees（按本题杆系与自由度建模的主选；现有工具链仍须逐题验证）。</x:v>
      </x:c>
      <x:c r="Y212" s="19" t="str">
        <x:v>OpenSees</x:v>
      </x:c>
      <x:c r="Z212" s="6" t="str">
        <x:v>中间撑点加右端外伸梁为平面梁/刚架的直接力学建模与关键响应校核，规划OpenSees按实际杆段和约束组织分析；图上撑点不在梁末端，需识别穿过支座的连续杆件。</x:v>
      </x:c>
      <x:c r="AA212" s="6" t="str">
        <x:v>x=4m支点是梁内连续节点，梁仍向右延伸；不得增加端部约束；执行后按原题完整输出：右端竖向位移、x=4m反力及左端弯矩；附与数值一致的模型/结果图。本轮仅规划，不运行。</x:v>
      </x:c>
      <x:c r="AB212" s="6" t="str">
        <x:v>待逐题验证</x:v>
      </x:c>
      <x:c r="AC212" s="6" t="str">
        <x:v>尚未确认本题可通过；接口/求解/读回预检重点：x=4m支点是梁内连续节点，梁仍向右延伸；不得增加端部约束。特殊单元、轴向、边界及组合均不因OpenSees原生支持而视作已接通。</x:v>
      </x:c>
      <x:c r="AD212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长向下10kN/m，右自由端向下20kN；未指定组合时仅算题定基本荷载，指定组合逐组执行，不能用软件默认包络替换。</x:v>
      </x:c>
      <x:c r="AE212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2" s="6" t="str">
        <x:v>OPS；COMMON</x:v>
      </x:c>
    </x:row>
    <x:row r="213" ht="94.5" customHeight="1">
      <x:c r="A213" s="14" t="str">
        <x:v>MM-012</x:v>
      </x:c>
      <x:c r="B213" s="11" t="str">
        <x:v>多模态逆向建模</x:v>
      </x:c>
      <x:c r="C213" s="18" t="str">
        <x:v>M-MM-012</x:v>
      </x:c>
      <x:c r="D213" s="11" t="str">
        <x:v>折线悬臂梁竖向端力：工程标注图</x:v>
      </x:c>
      <x:c r="E213" s="11" t="str">
        <x:v>梁</x:v>
      </x:c>
      <x:c r="F213" s="18" t="str">
        <x:v>2D</x:v>
      </x:c>
      <x:c r="G213" s="11" t="str">
        <x:v>工程标注图</x:v>
      </x:c>
      <x:c r="H213" s="18" t="str">
        <x:v>L2</x:v>
      </x:c>
      <x:c r="I213" s="11" t="str">
        <x:v>折点是刚性连接，斜段和水平段的局部轴不同。</x:v>
      </x:c>
      <x:c r="J213" s="18" t="str">
        <x:v>英文</x:v>
      </x:c>
      <x:c r="K213" s="11" t="str">
        <x:v>新工程PNG的总图/局部详图给本题几何、连接、支承和荷载位置；图中构件索引关联完整属性表，正文不重述拓扑。所有新附件待制作、盲审与验证。</x:v>
      </x:c>
      <x:c r="L213" s="22" t="n">
        <x:v>1</x:v>
      </x:c>
      <x:c r="M213" s="11" t="str">
        <x:v>几何：刚接折线梁通过XZ点(0,0)、(4,0)、(6,3)m；边界：首点固支，其余无支座；荷载：末端全局Z向-20kN；属性：统一钢材M1/B1，折点不设内铰。（本栏是编题规格，实际用户输入按图/表分工呈现。）</x:v>
      </x:c>
      <x:c r="N213" s="11" t="str">
        <x:v>折点是刚性连接，斜段和水平段的局部轴不同。</x:v>
      </x:c>
      <x:c r="O213" s="11" t="str">
        <x:v>末端Ux/Uz、折点两侧内力；附与数值一致的模型/结果图。</x:v>
      </x:c>
      <x:c r="P213" s="11" t="str">
        <x:v>模型核对：直斜梁改为水平段加斜段的折线梁，增加刚接转折和两种轴向投影。；数值/表述核对：末端Ux/Uz、折点两侧内力，位置、方向、单位须一致。</x:v>
      </x:c>
      <x:c r="Q213" s="18" t="str">
        <x:v>新增</x:v>
      </x:c>
      <x:c r="R213" s="11" t="str">
        <x:v>无</x:v>
      </x:c>
      <x:c r="S213" s="11" t="str">
        <x:v>无</x:v>
      </x:c>
      <x:c r="T213" s="11" t="str">
        <x:v>独立模型相对原场景的变化：直斜梁改为水平段加斜段的折线梁，增加刚接转折和两种轴向投影。旧附件须按本模型重绘，旧数值仅作对照。</x:v>
      </x:c>
      <x:c r="U213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3" s="11" t="str">
        <x:v>斜杆荷载与局部轴需验证；本题新增几何/属性与真值均待独立核验；材料截面代号须在本题附录定值。斜杆全局荷载和局部轴适配待验证。</x:v>
      </x:c>
      <x:c r="W213" s="11" t="str">
        <x:v>规划，待编题与验证</x:v>
      </x:c>
      <x:c r="X213" s="11" t="str">
        <x:v>OpenSees（按本题杆系与自由度建模的主选；现有工具链仍须逐题验证）。</x:v>
      </x:c>
      <x:c r="Y213" s="18" t="str">
        <x:v>OpenSees</x:v>
      </x:c>
      <x:c r="Z213" s="11" t="str">
        <x:v>折线悬臂梁竖向端力为平面梁/刚架的直接力学建模与关键响应校核，规划OpenSees按实际杆段和约束组织分析；折点是刚性连接，斜段和水平段的局部轴不同。</x:v>
      </x:c>
      <x:c r="AA213" s="11" t="str">
        <x:v>两段真实梁在折点刚接；核对各段局部轴和全局端力分解；执行后按原题完整输出：末端Ux/Uz、折点两侧内力；附与数值一致的模型/结果图。本轮仅规划，不运行。</x:v>
      </x:c>
      <x:c r="AB213" s="11" t="str">
        <x:v>待逐题验证</x:v>
      </x:c>
      <x:c r="AC213" s="11" t="str">
        <x:v>尚未确认本题可通过；接口/求解/读回预检重点：两段真实梁在折点刚接；核对各段局部轴和全局端力分解。特殊单元、轴向、边界及组合均不因OpenSees原生支持而视作已接通。</x:v>
      </x:c>
      <x:c r="AD213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末端全局Z向-20kN；未指定组合时仅算题定基本荷载，指定组合逐组执行，不能用软件默认包络替换。</x:v>
      </x:c>
      <x:c r="AE21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3" s="11" t="str">
        <x:v>OPS；COMMON</x:v>
      </x:c>
    </x:row>
    <x:row r="214" ht="94.5" customHeight="1">
      <x:c r="A214" s="15" t="str">
        <x:v>MM-013</x:v>
      </x:c>
      <x:c r="B214" s="6" t="str">
        <x:v>多模态逆向建模</x:v>
      </x:c>
      <x:c r="C214" s="19" t="str">
        <x:v>M-MM-013</x:v>
      </x:c>
      <x:c r="D214" s="6" t="str">
        <x:v>双材料分区简支梁：结构DXF</x:v>
      </x:c>
      <x:c r="E214" s="6" t="str">
        <x:v>梁</x:v>
      </x:c>
      <x:c r="F214" s="19" t="str">
        <x:v>2D</x:v>
      </x:c>
      <x:c r="G214" s="6" t="str">
        <x:v>结构DXF</x:v>
      </x:c>
      <x:c r="H214" s="19" t="str">
        <x:v>L2</x:v>
      </x:c>
      <x:c r="I214" s="6" t="str">
        <x:v>颜色是材料分区，不是三种截面；点载与材料界面重合。</x:v>
      </x:c>
      <x:c r="J214" s="19" t="str">
        <x:v>中文</x:v>
      </x:c>
      <x:c r="K214" s="6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14" s="23" t="n">
        <x:v>1</x:v>
      </x:c>
      <x:c r="M214" s="6" t="str">
        <x:v>几何：9m直梁，节点x=3、4.5、6m；边界：左铰右竖向滚支；荷载：全跨向下12kN/m并在x=3m向下20kN；属性：两端3m用材料M1，中间3m用M2，统一截面B1。（本栏是编题规格，实际用户输入按图/表分工呈现。）</x:v>
      </x:c>
      <x:c r="N214" s="6" t="str">
        <x:v>颜色是材料分区，不是三种截面；点载与材料界面重合。</x:v>
      </x:c>
      <x:c r="O214" s="6" t="str">
        <x:v>x=4.5m竖向位移、x=3m两侧剪力；附与数值一致的模型/结果图。</x:v>
      </x:c>
      <x:c r="P214" s="6" t="str">
        <x:v>模型核对：将三截面梁改为双材料夹心分区，并在界面增加独立点载。；数值/表述核对：x=4.5m竖向位移、x=3m两侧剪力，位置、方向、单位须一致。</x:v>
      </x:c>
      <x:c r="Q214" s="19" t="str">
        <x:v>新增</x:v>
      </x:c>
      <x:c r="R214" s="6" t="str">
        <x:v>无</x:v>
      </x:c>
      <x:c r="S214" s="6" t="str">
        <x:v>无</x:v>
      </x:c>
      <x:c r="T214" s="6" t="str">
        <x:v>独立模型相对原场景的变化：将三截面梁改为双材料夹心分区，并在界面增加独立点载。旧附件须按本模型重绘，旧数值仅作对照。</x:v>
      </x:c>
      <x:c r="U214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4" s="6" t="str">
        <x:v>基础工具；本题新增几何/属性与真值均待独立核验；材料截面代号须在本题附录定值。</x:v>
      </x:c>
      <x:c r="W214" s="6" t="str">
        <x:v>规划，待编题与验证</x:v>
      </x:c>
      <x:c r="X214" s="6" t="str">
        <x:v>OpenSees（按本题杆系与自由度建模的主选；现有工具链仍须逐题验证）。</x:v>
      </x:c>
      <x:c r="Y214" s="19" t="str">
        <x:v>OpenSees</x:v>
      </x:c>
      <x:c r="Z214" s="6" t="str">
        <x:v>双材料分区简支梁为平面梁/刚架的直接力学建模与关键响应校核，规划OpenSees按实际杆段和约束组织分析；颜色是材料分区，不是三种截面；点载与材料界面重合。</x:v>
      </x:c>
      <x:c r="AA214" s="6" t="str">
        <x:v>材料界面共节点；x=3m处点力与两侧剪力跳变一致；执行后按原题完整输出：x=4.5m竖向位移、x=3m两侧剪力；附与数值一致的模型/结果图。本轮仅规划，不运行。</x:v>
      </x:c>
      <x:c r="AB214" s="6" t="str">
        <x:v>待逐题验证</x:v>
      </x:c>
      <x:c r="AC214" s="6" t="str">
        <x:v>尚未确认本题可通过；接口/求解/读回预检重点：材料界面共节点；x=3m处点力与两侧剪力跳变一致。特殊单元、轴向、边界及组合均不因OpenSees原生支持而视作已接通。</x:v>
      </x:c>
      <x:c r="AD214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跨向下12kN/m并在x=3m向下20kN；未指定组合时仅算题定基本荷载，指定组合逐组执行，不能用软件默认包络替换。</x:v>
      </x:c>
      <x:c r="AE21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4" s="6" t="str">
        <x:v>OPS；COMMON</x:v>
      </x:c>
    </x:row>
    <x:row r="215" ht="94.5" customHeight="1">
      <x:c r="A215" s="14" t="str">
        <x:v>MM-014</x:v>
      </x:c>
      <x:c r="B215" s="11" t="str">
        <x:v>多模态逆向建模</x:v>
      </x:c>
      <x:c r="C215" s="18" t="str">
        <x:v>M-MM-014</x:v>
      </x:c>
      <x:c r="D215" s="11" t="str">
        <x:v>材料截面交错分区梁：图表联合</x:v>
      </x:c>
      <x:c r="E215" s="11" t="str">
        <x:v>梁</x:v>
      </x:c>
      <x:c r="F215" s="18" t="str">
        <x:v>2D</x:v>
      </x:c>
      <x:c r="G215" s="11" t="str">
        <x:v>图表联合</x:v>
      </x:c>
      <x:c r="H215" s="18" t="str">
        <x:v>L3</x:v>
      </x:c>
      <x:c r="I215" s="11" t="str">
        <x:v>材料、截面和加载区边界不重合，需要联合分段并保留连续。</x:v>
      </x:c>
      <x:c r="J215" s="18" t="str">
        <x:v>英文</x:v>
      </x:c>
      <x:c r="K215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15" s="22" t="n">
        <x:v>1</x:v>
      </x:c>
      <x:c r="M215" s="11" t="str">
        <x:v>几何：10m直梁，分段点x=2、5、8m；边界：左铰右竖向滚支；荷载：x=0至5m向下9kN/m，x=8m施加全局Y轴+25kN·m；属性：0至2及8至10m用M1，中间用M2；0至5m用B1、5至10m用B2。（本栏是编题规格，实际用户输入按图/表分工呈现。）</x:v>
      </x:c>
      <x:c r="N215" s="11" t="str">
        <x:v>材料、截面和加载区边界不重合，需要联合分段并保留连续。</x:v>
      </x:c>
      <x:c r="O215" s="11" t="str">
        <x:v>x=5m竖向位移、x=8m两侧弯矩；附与数值一致的模型/结果图。</x:v>
      </x:c>
      <x:c r="P215" s="11" t="str">
        <x:v>模型核对：原材料界面加点力改为材料/截面交错分区及跨内力矩加载。；数值/表述核对：x=5m竖向位移、x=8m两侧弯矩，位置、方向、单位须一致。</x:v>
      </x:c>
      <x:c r="Q215" s="18" t="str">
        <x:v>新增</x:v>
      </x:c>
      <x:c r="R215" s="11" t="str">
        <x:v>无</x:v>
      </x:c>
      <x:c r="S215" s="11" t="str">
        <x:v>无</x:v>
      </x:c>
      <x:c r="T215" s="11" t="str">
        <x:v>独立模型相对原场景的变化：原材料界面加点力改为材料/截面交错分区及跨内力矩加载。旧附件须按本模型重绘，旧数值仅作对照。</x:v>
      </x:c>
      <x:c r="U215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5" s="11" t="str">
        <x:v>基础工具；本题新增几何/属性与真值均待独立核验；材料截面代号须在本题附录定值。节点力矩输入与符号契约待验证。</x:v>
      </x:c>
      <x:c r="W215" s="11" t="str">
        <x:v>规划，待编题与验证</x:v>
      </x:c>
      <x:c r="X215" s="11" t="str">
        <x:v>OpenSees（按本题杆系与自由度建模的主选；现有工具链仍须逐题验证）。</x:v>
      </x:c>
      <x:c r="Y215" s="18" t="str">
        <x:v>OpenSees</x:v>
      </x:c>
      <x:c r="Z215" s="11" t="str">
        <x:v>材料截面交错分区梁为平面梁/刚架的直接力学建模与关键响应校核，规划OpenSees按实际杆段和约束组织分析；材料、截面和加载区边界不重合，需要联合分段并保留连续。</x:v>
      </x:c>
      <x:c r="AA215" s="11" t="str">
        <x:v>按材料/截面/荷载三套边界联合切分，跨内力矩保持独立；执行后按原题完整输出：x=5m竖向位移、x=8m两侧弯矩；附与数值一致的模型/结果图。本轮仅规划，不运行。</x:v>
      </x:c>
      <x:c r="AB215" s="11" t="str">
        <x:v>待逐题验证</x:v>
      </x:c>
      <x:c r="AC215" s="11" t="str">
        <x:v>尚未确认本题可通过；接口/求解/读回预检重点：按材料/截面/荷载三套边界联合切分，跨内力矩保持独立。特殊单元、轴向、边界及组合均不因OpenSees原生支持而视作已接通。</x:v>
      </x:c>
      <x:c r="AD215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x=0至5m向下9kN/m，x=8m施加全局Y轴+25kN·m；未指定组合时仅算题定基本荷载，指定组合逐组执行，不能用软件默认包络替换。</x:v>
      </x:c>
      <x:c r="AE21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5" s="11" t="str">
        <x:v>OPS；COMMON</x:v>
      </x:c>
    </x:row>
    <x:row r="216" ht="94.5" customHeight="1">
      <x:c r="A216" s="15" t="str">
        <x:v>MM-015</x:v>
      </x:c>
      <x:c r="B216" s="6" t="str">
        <x:v>多模态逆向建模</x:v>
      </x:c>
      <x:c r="C216" s="19" t="str">
        <x:v>M-MM-015</x:v>
      </x:c>
      <x:c r="D216" s="6" t="str">
        <x:v>左端固支双跨连续梁：力学简图</x:v>
      </x:c>
      <x:c r="E216" s="6" t="str">
        <x:v>连续梁</x:v>
      </x:c>
      <x:c r="F216" s="19" t="str">
        <x:v>2D</x:v>
      </x:c>
      <x:c r="G216" s="6" t="str">
        <x:v>力学简图</x:v>
      </x:c>
      <x:c r="H216" s="19" t="str">
        <x:v>L2</x:v>
      </x:c>
      <x:c r="I216" s="6" t="str">
        <x:v>固定端符号与中支座连续性共同决定超静定边界。</x:v>
      </x:c>
      <x:c r="J216" s="19" t="str">
        <x:v>中文</x:v>
      </x:c>
      <x:c r="K216" s="6" t="str">
        <x:v>新PNG独占本题几何尺寸、连接、支座与荷载图示；附录只给完整材料/截面及求解设置，不转写图内几何。所有新附件待制作、盲审与验证。</x:v>
      </x:c>
      <x:c r="L216" s="23" t="n">
        <x:v>1</x:v>
      </x:c>
      <x:c r="M216" s="6" t="str">
        <x:v>几何：连续梁支点x=0、5、11m，两跨连通且中支点无内铰；边界：左端固支，其余竖向滚支；荷载：全长向下12kN/m；属性：统一M1/B1。（本栏是编题规格，实际用户输入按图/表分工呈现。）</x:v>
      </x:c>
      <x:c r="N216" s="6" t="str">
        <x:v>固定端符号与中支座连续性共同决定超静定边界。</x:v>
      </x:c>
      <x:c r="O216" s="6" t="str">
        <x:v>x=2.5、8m竖向位移、左端弯矩；附与数值一致的模型/结果图。</x:v>
      </x:c>
      <x:c r="P216" s="6" t="str">
        <x:v>模型核对：左端铰改为固支，连续梁端部弯矩不再为零。；数值/表述核对：x=2.5、8m竖向位移、左端弯矩，位置、方向、单位须一致。</x:v>
      </x:c>
      <x:c r="Q216" s="19" t="str">
        <x:v>旧题改编</x:v>
      </x:c>
      <x:c r="R216" s="6" t="str">
        <x:v>re-dspan-simple-5-6-mechanics</x:v>
      </x:c>
      <x:c r="S216" s="6" t="str">
        <x:v>无</x:v>
      </x:c>
      <x:c r="T216" s="6" t="str">
        <x:v>独立模型相对原场景的变化：左端铰改为固支，连续梁端部弯矩不再为零。旧附件须按本模型重绘，旧数值仅作对照。基础来源：double-span-beam-static。多模态机制来源：re-dspan-simple-5-6-mechanics。</x:v>
      </x:c>
      <x:c r="U216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6" s="6" t="str">
        <x:v>基础工具；本题新增几何/属性与真值均待独立核验；材料截面代号须在本题附录定值。</x:v>
      </x:c>
      <x:c r="W216" s="6" t="str">
        <x:v>规划，待编题与验证</x:v>
      </x:c>
      <x:c r="X216" s="6" t="str">
        <x:v>OpenSees（按本题杆系与自由度建模的主选；现有工具链仍须逐题验证）。</x:v>
      </x:c>
      <x:c r="Y216" s="19" t="str">
        <x:v>OpenSees</x:v>
      </x:c>
      <x:c r="Z216" s="6" t="str">
        <x:v>左端固支双跨连续梁为平面梁/刚架的直接力学建模与关键响应校核，规划OpenSees按实际杆段和约束组织分析；固定端符号与中支座连续性共同决定超静定边界。</x:v>
      </x:c>
      <x:c r="AA216" s="6" t="str">
        <x:v>中支点只限制竖向而保持转角连通；左固端弯矩独立读回；执行后按原题完整输出：x=2.5、8m竖向位移、左端弯矩；附与数值一致的模型/结果图。本轮仅规划，不运行。</x:v>
      </x:c>
      <x:c r="AB216" s="6" t="str">
        <x:v>待逐题验证</x:v>
      </x:c>
      <x:c r="AC216" s="6" t="str">
        <x:v>尚未确认本题可通过；接口/求解/读回预检重点：中支点只限制竖向而保持转角连通；左固端弯矩独立读回。特殊单元、轴向、边界及组合均不因OpenSees原生支持而视作已接通。</x:v>
      </x:c>
      <x:c r="AD216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长向下12kN/m；未指定组合时仅算题定基本荷载，指定组合逐组执行，不能用软件默认包络替换。</x:v>
      </x:c>
      <x:c r="AE21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6" s="6" t="str">
        <x:v>OPS；COMMON</x:v>
      </x:c>
    </x:row>
    <x:row r="217" ht="108" customHeight="1">
      <x:c r="A217" s="14" t="str">
        <x:v>MM-016</x:v>
      </x:c>
      <x:c r="B217" s="11" t="str">
        <x:v>多模态逆向建模</x:v>
      </x:c>
      <x:c r="C217" s="18" t="str">
        <x:v>M-MM-016</x:v>
      </x:c>
      <x:c r="D217" s="11" t="str">
        <x:v>不等跨连续梁带尾段：工程标注图</x:v>
      </x:c>
      <x:c r="E217" s="11" t="str">
        <x:v>连续梁</x:v>
      </x:c>
      <x:c r="F217" s="18" t="str">
        <x:v>2D</x:v>
      </x:c>
      <x:c r="G217" s="11" t="str">
        <x:v>工程标注图</x:v>
      </x:c>
      <x:c r="H217" s="18" t="str">
        <x:v>L3</x:v>
      </x:c>
      <x:c r="I217" s="11" t="str">
        <x:v>长跨中点、第三个支座和真正自由端分别定位。</x:v>
      </x:c>
      <x:c r="J217" s="18" t="str">
        <x:v>英文</x:v>
      </x:c>
      <x:c r="K217" s="11" t="str">
        <x:v>新工程PNG的总图/局部详图给本题几何、连接、支承和荷载位置；图中构件索引关联完整属性表，正文不重述拓扑。所有新附件待制作、盲审与验证。</x:v>
      </x:c>
      <x:c r="L217" s="22" t="n">
        <x:v>1</x:v>
      </x:c>
      <x:c r="M217" s="11" t="str">
        <x:v>几何：连续梁从x=0至13m，支点x=0、4、11m，末端2m外伸；边界：左铰、其余竖向滚支；荷载：前两跨向下10kN/m，x=7.5m向下30kN，外伸段向下6kN/m；属性：统一M1/B1。（本栏是编题规格，实际用户输入按图/表分工呈现。）</x:v>
      </x:c>
      <x:c r="N217" s="11" t="str">
        <x:v>长跨中点、第三个支座和真正自由端分别定位。</x:v>
      </x:c>
      <x:c r="O217" s="11" t="str">
        <x:v>x=7.5m与自由端竖向位移、x=11m弯矩；附与数值一致的模型/结果图。</x:v>
      </x:c>
      <x:c r="P217" s="11" t="str">
        <x:v>模型核对：双跨模型增加末端外伸段与独立区域荷载，改变末支点弯矩。；数值/表述核对：x=7.5m与自由端竖向位移、x=11m弯矩，位置、方向、单位须一致。</x:v>
      </x:c>
      <x:c r="Q217" s="18" t="str">
        <x:v>新增</x:v>
      </x:c>
      <x:c r="R217" s="11" t="str">
        <x:v>无</x:v>
      </x:c>
      <x:c r="S217" s="11" t="str">
        <x:v>无</x:v>
      </x:c>
      <x:c r="T217" s="11" t="str">
        <x:v>独立模型相对原场景的变化：双跨模型增加末端外伸段与独立区域荷载，改变末支点弯矩。旧附件须按本模型重绘，旧数值仅作对照。基础来源：double-span-beam-unequal。</x:v>
      </x:c>
      <x:c r="U217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7" s="11" t="str">
        <x:v>基础工具；本题新增几何/属性与真值均待独立核验；材料截面代号须在本题附录定值。</x:v>
      </x:c>
      <x:c r="W217" s="11" t="str">
        <x:v>规划，待编题与验证</x:v>
      </x:c>
      <x:c r="X217" s="11" t="str">
        <x:v>OpenSees（按本题杆系与自由度建模的主选；现有工具链仍须逐题验证）。</x:v>
      </x:c>
      <x:c r="Y217" s="18" t="str">
        <x:v>OpenSees</x:v>
      </x:c>
      <x:c r="Z217" s="11" t="str">
        <x:v>不等跨连续梁带尾段为平面梁/刚架的直接力学建模与关键响应校核，规划OpenSees按实际杆段和约束组织分析；长跨中点、第三个支座和真正自由端分别定位。</x:v>
      </x:c>
      <x:c r="AA217" s="11" t="str">
        <x:v>长跨点载与尾段自由端独立；各段等效荷载保持区间位置；执行后按原题完整输出：x=7.5m与自由端竖向位移、x=11m弯矩；附与数值一致的模型/结果图。本轮仅规划，不运行。</x:v>
      </x:c>
      <x:c r="AB217" s="11" t="str">
        <x:v>待逐题验证</x:v>
      </x:c>
      <x:c r="AC217" s="11" t="str">
        <x:v>尚未确认本题可通过；接口/求解/读回预检重点：长跨点载与尾段自由端独立；各段等效荷载保持区间位置。特殊单元、轴向、边界及组合均不因OpenSees原生支持而视作已接通。</x:v>
      </x:c>
      <x:c r="AD217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前两跨向下10kN/m，x=7.5m向下30kN，外伸段向下6kN/m；未指定组合时仅算题定基本荷载，指定组合逐组执行，不能用软件默认包络替换。</x:v>
      </x:c>
      <x:c r="AE21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7" s="11" t="str">
        <x:v>OPS；COMMON</x:v>
      </x:c>
    </x:row>
    <x:row r="218" ht="94.5" customHeight="1">
      <x:c r="A218" s="15" t="str">
        <x:v>MM-017</x:v>
      </x:c>
      <x:c r="B218" s="6" t="str">
        <x:v>多模态逆向建模</x:v>
      </x:c>
      <x:c r="C218" s="19" t="str">
        <x:v>M-MM-017</x:v>
      </x:c>
      <x:c r="D218" s="6" t="str">
        <x:v>末端固支三跨连续梁：工程标注图</x:v>
      </x:c>
      <x:c r="E218" s="6" t="str">
        <x:v>连续梁</x:v>
      </x:c>
      <x:c r="F218" s="19" t="str">
        <x:v>2D</x:v>
      </x:c>
      <x:c r="G218" s="6" t="str">
        <x:v>工程标注图</x:v>
      </x:c>
      <x:c r="H218" s="19" t="str">
        <x:v>L2</x:v>
      </x:c>
      <x:c r="I218" s="6" t="str">
        <x:v>右端固定符号不能按通常连续梁滚支替换。</x:v>
      </x:c>
      <x:c r="J218" s="19" t="str">
        <x:v>中文</x:v>
      </x:c>
      <x:c r="K218" s="6" t="str">
        <x:v>新工程PNG的总图/局部详图给本题几何、连接、支承和荷载位置；图中构件索引关联完整属性表，正文不重述拓扑。所有新附件待制作、盲审与验证。</x:v>
      </x:c>
      <x:c r="L218" s="23" t="n">
        <x:v>1</x:v>
      </x:c>
      <x:c r="M218" s="6" t="str">
        <x:v>几何：连续梁支点x=0、4、9、13m；边界：左端铰、两个中支点竖向滚支、右端固支；荷载：全跨向下15kN/m；属性：统一M1/B1，各支点处均无内铰。（本栏是编题规格，实际用户输入按图/表分工呈现。）</x:v>
      </x:c>
      <x:c r="N218" s="6" t="str">
        <x:v>右端固定符号不能按通常连续梁滚支替换。</x:v>
      </x:c>
      <x:c r="O218" s="6" t="str">
        <x:v>中跨中点竖向位移、右端弯矩；附与数值一致的模型/结果图。</x:v>
      </x:c>
      <x:c r="P218" s="6" t="str">
        <x:v>模型核对：把右端滚支改为固支，新增非零端弯矩和不同跨间分配。；数值/表述核对：中跨中点竖向位移、右端弯矩，位置、方向、单位须一致。</x:v>
      </x:c>
      <x:c r="Q218" s="19" t="str">
        <x:v>旧题改编</x:v>
      </x:c>
      <x:c r="R218" s="6" t="str">
        <x:v>re-dspan-complex-3span-construction</x:v>
      </x:c>
      <x:c r="S218" s="6" t="str">
        <x:v>无</x:v>
      </x:c>
      <x:c r="T218" s="6" t="str">
        <x:v>独立模型相对原场景的变化：把右端滚支改为固支，新增非零端弯矩和不同跨间分配。旧附件须按本模型重绘，旧数值仅作对照。基础来源：three-span-continuous-beam-static。多模态机制来源：re-dspan-complex-3span-construction。</x:v>
      </x:c>
      <x:c r="U218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8" s="6" t="str">
        <x:v>基础工具；本题新增几何/属性与真值均待独立核验；材料截面代号须在本题附录定值。</x:v>
      </x:c>
      <x:c r="W218" s="6" t="str">
        <x:v>规划，待编题与验证</x:v>
      </x:c>
      <x:c r="X218" s="6" t="str">
        <x:v>OpenSees（按本题杆系与自由度建模的主选；现有工具链仍须逐题验证）。</x:v>
      </x:c>
      <x:c r="Y218" s="19" t="str">
        <x:v>OpenSees</x:v>
      </x:c>
      <x:c r="Z218" s="6" t="str">
        <x:v>末端固支三跨连续梁为平面梁/刚架的直接力学建模与关键响应校核，规划OpenSees按实际杆段和约束组织分析；右端固定符号不能按通常连续梁滚支替换。</x:v>
      </x:c>
      <x:c r="AA218" s="6" t="str">
        <x:v>右端固定而非滚支，中间两支点无内铰；执行后按原题完整输出：中跨中点竖向位移、右端弯矩；附与数值一致的模型/结果图。本轮仅规划，不运行。</x:v>
      </x:c>
      <x:c r="AB218" s="6" t="str">
        <x:v>待逐题验证</x:v>
      </x:c>
      <x:c r="AC218" s="6" t="str">
        <x:v>尚未确认本题可通过；接口/求解/读回预检重点：右端固定而非滚支，中间两支点无内铰。特殊单元、轴向、边界及组合均不因OpenSees原生支持而视作已接通。</x:v>
      </x:c>
      <x:c r="AD218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跨向下15kN/m；未指定组合时仅算题定基本荷载，指定组合逐组执行，不能用软件默认包络替换。</x:v>
      </x:c>
      <x:c r="AE21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8" s="6" t="str">
        <x:v>OPS；COMMON</x:v>
      </x:c>
    </x:row>
    <x:row r="219" ht="94.5" customHeight="1">
      <x:c r="A219" s="14" t="str">
        <x:v>MM-018</x:v>
      </x:c>
      <x:c r="B219" s="11" t="str">
        <x:v>多模态逆向建模</x:v>
      </x:c>
      <x:c r="C219" s="18" t="str">
        <x:v>M-MM-018</x:v>
      </x:c>
      <x:c r="D219" s="11" t="str">
        <x:v>三跨两端加载中跨无载：结构DXF</x:v>
      </x:c>
      <x:c r="E219" s="11" t="str">
        <x:v>连续梁</x:v>
      </x:c>
      <x:c r="F219" s="18" t="str">
        <x:v>2D</x:v>
      </x:c>
      <x:c r="G219" s="11" t="str">
        <x:v>结构DXF</x:v>
      </x:c>
      <x:c r="H219" s="18" t="str">
        <x:v>L2</x:v>
      </x:c>
      <x:c r="I219" s="11" t="str">
        <x:v>两个非相邻加载跨和无载中跨需完整重建。</x:v>
      </x:c>
      <x:c r="J219" s="18" t="str">
        <x:v>英文</x:v>
      </x:c>
      <x:c r="K219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19" s="22" t="n">
        <x:v>1</x:v>
      </x:c>
      <x:c r="M219" s="11" t="str">
        <x:v>几何：连续梁跨长5、7、3m，四个支点；边界：左铰，其余竖向滚支；荷载：第一跨向下16kN/m、第三跨向下9kN/m，中跨无载；属性：统一M1/B1。（本栏是编题规格，实际用户输入按图/表分工呈现。）</x:v>
      </x:c>
      <x:c r="N219" s="11" t="str">
        <x:v>两个非相邻加载跨和无载中跨需完整重建。</x:v>
      </x:c>
      <x:c r="O219" s="11" t="str">
        <x:v>中跨中点竖向位移、两个中支座弯矩；附与数值一致的模型/结果图。</x:v>
      </x:c>
      <x:c r="P219" s="11" t="str">
        <x:v>模型核对：由双跨单侧加载扩展为三跨两端加载，新增跨与隔跨受力。；数值/表述核对：中跨中点竖向位移、两个中支座弯矩，位置、方向、单位须一致。</x:v>
      </x:c>
      <x:c r="Q219" s="18" t="str">
        <x:v>新增</x:v>
      </x:c>
      <x:c r="R219" s="11" t="str">
        <x:v>无</x:v>
      </x:c>
      <x:c r="S219" s="11" t="str">
        <x:v>无</x:v>
      </x:c>
      <x:c r="T219" s="11" t="str">
        <x:v>独立模型相对原场景的变化：由双跨单侧加载扩展为三跨两端加载，新增跨与隔跨受力。旧附件须按本模型重绘，旧数值仅作对照。</x:v>
      </x:c>
      <x:c r="U219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19" s="11" t="str">
        <x:v>基础工具；本题新增几何/属性与真值均待独立核验；材料截面代号须在本题附录定值。</x:v>
      </x:c>
      <x:c r="W219" s="11" t="str">
        <x:v>规划，待编题与验证</x:v>
      </x:c>
      <x:c r="X219" s="11" t="str">
        <x:v>OpenSees（按本题杆系与自由度建模的主选；现有工具链仍须逐题验证）。</x:v>
      </x:c>
      <x:c r="Y219" s="18" t="str">
        <x:v>OpenSees</x:v>
      </x:c>
      <x:c r="Z219" s="11" t="str">
        <x:v>三跨两端加载中跨无载为平面梁/刚架的直接力学建模与关键响应校核，规划OpenSees按实际杆段和约束组织分析；两个非相邻加载跨和无载中跨需完整重建。</x:v>
      </x:c>
      <x:c r="AA219" s="11" t="str">
        <x:v>保留无载中跨，不能删除或补载；读取该跨跨中位移；执行后按原题完整输出：中跨中点竖向位移、两个中支座弯矩；附与数值一致的模型/结果图。本轮仅规划，不运行。</x:v>
      </x:c>
      <x:c r="AB219" s="11" t="str">
        <x:v>待逐题验证</x:v>
      </x:c>
      <x:c r="AC219" s="11" t="str">
        <x:v>尚未确认本题可通过；接口/求解/读回预检重点：保留无载中跨，不能删除或补载；读取该跨跨中位移。特殊单元、轴向、边界及组合均不因OpenSees原生支持而视作已接通。</x:v>
      </x:c>
      <x:c r="AD219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第一跨向下16kN/m、第三跨向下9kN/m，中跨无载；未指定组合时仅算题定基本荷载，指定组合逐组执行，不能用软件默认包络替换。</x:v>
      </x:c>
      <x:c r="AE21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19" s="11" t="str">
        <x:v>OPS；COMMON</x:v>
      </x:c>
    </x:row>
    <x:row r="220" ht="108" customHeight="1">
      <x:c r="A220" s="15" t="str">
        <x:v>MM-019</x:v>
      </x:c>
      <x:c r="B220" s="6" t="str">
        <x:v>多模态逆向建模</x:v>
      </x:c>
      <x:c r="C220" s="19" t="str">
        <x:v>M-MM-019</x:v>
      </x:c>
      <x:c r="D220" s="6" t="str">
        <x:v>三跨重力与单侧上拔组合：图表联合</x:v>
      </x:c>
      <x:c r="E220" s="6" t="str">
        <x:v>连续梁</x:v>
      </x:c>
      <x:c r="F220" s="19" t="str">
        <x:v>2D</x:v>
      </x:c>
      <x:c r="G220" s="6" t="str">
        <x:v>图表联合</x:v>
      </x:c>
      <x:c r="H220" s="19" t="str">
        <x:v>L3</x:v>
      </x:c>
      <x:c r="I220" s="6" t="str">
        <x:v>三张工况图的相反方向和作用跨不同，组合不能混并。</x:v>
      </x:c>
      <x:c r="J220" s="19" t="str">
        <x:v>中文</x:v>
      </x:c>
      <x:c r="K220" s="6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20" s="23" t="n">
        <x:v>1</x:v>
      </x:c>
      <x:c r="M220" s="6" t="str">
        <x:v>几何：连续梁跨度4、6、4m；边界：左铰、其余三个支点竖向滚支；荷载：D全跨向下8kN/m，L只中跨向下10kN/m，W只左跨向上4kN/m；组合D、D+L、D+W；属性：统一M1/B1。（本栏是编题规格，实际用户输入按图/表分工呈现。）</x:v>
      </x:c>
      <x:c r="N220" s="6" t="str">
        <x:v>三张工况图的相反方向和作用跨不同，组合不能混并。</x:v>
      </x:c>
      <x:c r="O220" s="6" t="str">
        <x:v>三组合中跨中点位移、左支反力符号；附与数值一致的模型/结果图。</x:v>
      </x:c>
      <x:c r="P220" s="6" t="str">
        <x:v>模型核对：取消两边跨同向活载，改为单侧上拔独立工况，形成方向不对称组合。；数值/表述核对：三组合中跨中点位移、左支反力符号，位置、方向、单位须一致。</x:v>
      </x:c>
      <x:c r="Q220" s="19" t="str">
        <x:v>新增</x:v>
      </x:c>
      <x:c r="R220" s="6" t="str">
        <x:v>无</x:v>
      </x:c>
      <x:c r="S220" s="6" t="str">
        <x:v>无</x:v>
      </x:c>
      <x:c r="T220" s="6" t="str">
        <x:v>独立模型相对原场景的变化：取消两边跨同向活载，改为单侧上拔独立工况，形成方向不对称组合。旧附件须按本模型重绘，旧数值仅作对照。</x:v>
      </x:c>
      <x:c r="U220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20" s="6" t="str">
        <x:v>多组合执行契约需验证；本题新增几何/属性与真值均待独立核验；材料截面代号须在本题附录定值。</x:v>
      </x:c>
      <x:c r="W220" s="6" t="str">
        <x:v>规划，待编题与验证</x:v>
      </x:c>
      <x:c r="X220" s="6" t="str">
        <x:v>OpenSees（按本题杆系与自由度建模的主选；现有工具链仍须逐题验证）。</x:v>
      </x:c>
      <x:c r="Y220" s="19" t="str">
        <x:v>OpenSees</x:v>
      </x:c>
      <x:c r="Z220" s="6" t="str">
        <x:v>三跨重力与单侧上拔组合为平面梁/刚架的直接力学建模与关键响应校核，规划OpenSees按实际杆段和约束组织分析；三张工况图的相反方向和作用跨不同，组合不能混并。</x:v>
      </x:c>
      <x:c r="AA220" s="6" t="str">
        <x:v>D、L、W分别建工况，W向上；按D/D+L/D+W逐组核对合力；执行后按原题完整输出：三组合中跨中点位移、左支反力符号；附与数值一致的模型/结果图。本轮仅规划，不运行。</x:v>
      </x:c>
      <x:c r="AB220" s="6" t="str">
        <x:v>待逐题验证</x:v>
      </x:c>
      <x:c r="AC220" s="6" t="str">
        <x:v>尚未确认本题可通过；接口/求解/读回预检重点：D、L、W分别建工况，W向上；按D/D+L/D+W逐组核对合力。特殊单元、轴向、边界及组合均不因OpenSees原生支持而视作已接通。</x:v>
      </x:c>
      <x:c r="AD220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D全跨向下8kN/m，L只中跨向下10kN/m，W只左跨向上4kN/m；组合D、D+L、D+W；未指定组合时仅算题定基本荷载，指定组合逐组执行，不能用软件默认包络替换。</x:v>
      </x:c>
      <x:c r="AE220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0" s="6" t="str">
        <x:v>OPS；COMMON</x:v>
      </x:c>
    </x:row>
    <x:row r="221" ht="108" customHeight="1">
      <x:c r="A221" s="14" t="str">
        <x:v>MM-020</x:v>
      </x:c>
      <x:c r="B221" s="11" t="str">
        <x:v>多模态逆向建模</x:v>
      </x:c>
      <x:c r="C221" s="18" t="str">
        <x:v>M-MM-020</x:v>
      </x:c>
      <x:c r="D221" s="11" t="str">
        <x:v>递增跨度连续梁加短悬段：工程标注图</x:v>
      </x:c>
      <x:c r="E221" s="11" t="str">
        <x:v>连续梁</x:v>
      </x:c>
      <x:c r="F221" s="18" t="str">
        <x:v>2D</x:v>
      </x:c>
      <x:c r="G221" s="11" t="str">
        <x:v>工程标注图</x:v>
      </x:c>
      <x:c r="H221" s="18" t="str">
        <x:v>L3</x:v>
      </x:c>
      <x:c r="I221" s="11" t="str">
        <x:v>三跨尺寸与最后短悬段不同，端力不能放在末支座。</x:v>
      </x:c>
      <x:c r="J221" s="18" t="str">
        <x:v>英文</x:v>
      </x:c>
      <x:c r="K221" s="11" t="str">
        <x:v>新工程PNG的总图/局部详图给本题几何、连接、支承和荷载位置；图中构件索引关联完整属性表，正文不重述拓扑。所有新附件待制作、盲审与验证。</x:v>
      </x:c>
      <x:c r="L221" s="22" t="n">
        <x:v>1</x:v>
      </x:c>
      <x:c r="M221" s="11" t="str">
        <x:v>几何：支点x=0、3、8、15m，梁延伸到x=16m；边界：左铰、其余竖向滚支；荷载：三主跨分别向下8、10、12kN/m，末端1m无分布载但端部向下8kN；属性：统一M1/B1。（本栏是编题规格，实际用户输入按图/表分工呈现。）</x:v>
      </x:c>
      <x:c r="N221" s="11" t="str">
        <x:v>三跨尺寸与最后短悬段不同，端力不能放在末支座。</x:v>
      </x:c>
      <x:c r="O221" s="11" t="str">
        <x:v>自由端竖向位移、x=15m弯矩；附与数值一致的模型/结果图。</x:v>
      </x:c>
      <x:c r="P221" s="11" t="str">
        <x:v>模型核对：三跨梁增加自由尾段和端部集中力，改变最后支座负弯矩。；数值/表述核对：自由端竖向位移、x=15m弯矩，位置、方向、单位须一致。</x:v>
      </x:c>
      <x:c r="Q221" s="18" t="str">
        <x:v>新增</x:v>
      </x:c>
      <x:c r="R221" s="11" t="str">
        <x:v>无</x:v>
      </x:c>
      <x:c r="S221" s="11" t="str">
        <x:v>无</x:v>
      </x:c>
      <x:c r="T221" s="11" t="str">
        <x:v>独立模型相对原场景的变化：三跨梁增加自由尾段和端部集中力，改变最后支座负弯矩。旧附件须按本模型重绘，旧数值仅作对照。</x:v>
      </x:c>
      <x:c r="U221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21" s="11" t="str">
        <x:v>基础工具；本题新增几何/属性与真值均待独立核验；材料截面代号须在本题附录定值。</x:v>
      </x:c>
      <x:c r="W221" s="11" t="str">
        <x:v>规划，待编题与验证</x:v>
      </x:c>
      <x:c r="X221" s="11" t="str">
        <x:v>OpenSees（按本题杆系与自由度建模的主选；现有工具链仍须逐题验证）。</x:v>
      </x:c>
      <x:c r="Y221" s="18" t="str">
        <x:v>OpenSees</x:v>
      </x:c>
      <x:c r="Z221" s="11" t="str">
        <x:v>递增跨度连续梁加短悬段为平面梁/刚架的直接力学建模与关键响应校核，规划OpenSees按实际杆段和约束组织分析；三跨尺寸与最后短悬段不同，端力不能放在末支座。</x:v>
      </x:c>
      <x:c r="AA221" s="11" t="str">
        <x:v>末端1m是真实无载悬段，8kN力位于自由端而非末支点；执行后按原题完整输出：自由端竖向位移、x=15m弯矩；附与数值一致的模型/结果图。本轮仅规划，不运行。</x:v>
      </x:c>
      <x:c r="AB221" s="11" t="str">
        <x:v>待逐题验证</x:v>
      </x:c>
      <x:c r="AC221" s="11" t="str">
        <x:v>尚未确认本题可通过；接口/求解/读回预检重点：末端1m是真实无载悬段，8kN力位于自由端而非末支点。特殊单元、轴向、边界及组合均不因OpenSees原生支持而视作已接通。</x:v>
      </x:c>
      <x:c r="AD221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三主跨分别向下8、10、12kN/m，末端1m无分布载但端部向下8kN；未指定组合时仅算题定基本荷载，指定组合逐组执行，不能用软件默认包络替换。</x:v>
      </x:c>
      <x:c r="AE221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1" s="11" t="str">
        <x:v>OPS；COMMON</x:v>
      </x:c>
    </x:row>
    <x:row r="222" ht="108" customHeight="1">
      <x:c r="A222" s="15" t="str">
        <x:v>MM-021</x:v>
      </x:c>
      <x:c r="B222" s="6" t="str">
        <x:v>多模态逆向建模</x:v>
      </x:c>
      <x:c r="C222" s="19" t="str">
        <x:v>M-MM-021</x:v>
      </x:c>
      <x:c r="D222" s="6" t="str">
        <x:v>异截面固端双跨梁图表冲突：缺失/质量澄清</x:v>
      </x:c>
      <x:c r="E222" s="6" t="str">
        <x:v>连续梁</x:v>
      </x:c>
      <x:c r="F222" s="19" t="str">
        <x:v>2D</x:v>
      </x:c>
      <x:c r="G222" s="6" t="str">
        <x:v>缺失/质量澄清</x:v>
      </x:c>
      <x:c r="H222" s="19" t="str">
        <x:v>L3</x:v>
      </x:c>
      <x:c r="I222" s="6" t="str">
        <x:v>先定位第二跨截面图表冲突；确认后恢复左固端、两跨异截面及首跨集中力节点。</x:v>
      </x:c>
      <x:c r="J222" s="19" t="str">
        <x:v>中文</x:v>
      </x:c>
      <x:c r="K222" s="6" t="str">
        <x:v>第1轮PNG第二跨标B2而关联表标B1，两组属性均完整但设计选择冲突；首轮图已清楚给出首跨x=3m的向下22kN箭头与连接节点。第2轮确认第二跨使用B2。不可静默选择图或表。材料截面与其余求解设置完整另附。所有新附件待制作、盲审与验证。</x:v>
      </x:c>
      <x:c r="L222" s="23" t="n">
        <x:v>2</x:v>
      </x:c>
      <x:c r="M222" s="6" t="str">
        <x:v>几何：两跨各6m，连续梁总长12m，首跨x=3m设与两侧杆段相连节点；边界：左固支，中点和右端竖向滚支；荷载：全梁向下10kN/m，首跨x=3m另有向下22kN集中力；属性：第一跨B1、第二跨B2，同一M1；首轮第二跨截面标记故意冲突，确认后以B2为准。（本栏是编题规格，实际用户输入按图/表分工呈现。）</x:v>
      </x:c>
      <x:c r="N222" s="6" t="str">
        <x:v>先定位第二跨截面图表冲突；确认后恢复左固端、两跨异截面及首跨集中力节点。</x:v>
      </x:c>
      <x:c r="O222" s="6" t="str">
        <x:v>确认后首跨x=3m竖向位移、该点左右剪力及左端弯矩；附与数值一致的模型/结果图。</x:v>
      </x:c>
      <x:c r="P222" s="6" t="str">
        <x:v>模型核对：左固端、中/右滚支、两跨B1/B2及首跨x=3m的22kN点载，荷载节点连接两侧梁段；数值核对该点Uz、剪力跳变与左端弯矩。首轮定位第二跨截面冲突，确认后完整分析。</x:v>
      </x:c>
      <x:c r="Q222" s="19" t="str">
        <x:v>新增</x:v>
      </x:c>
      <x:c r="R222" s="6" t="str">
        <x:v>无</x:v>
      </x:c>
      <x:c r="S222" s="6" t="str">
        <x:v>无</x:v>
      </x:c>
      <x:c r="T222" s="6" t="str">
        <x:v>独立模型相对原场景的变化：原铰滚异截面梁改为左固端梁，首跨中点新增22kN集中力；不同于仅改固端和两跨截面的变体。旧附件须按本模型重绘，旧数值仅作对照。</x:v>
      </x:c>
      <x:c r="U222" s="6" t="str">
        <x:v>独立建立并复核OpenSees参考模型，固定版本/求解设置及观测位置；以适用解析解或独立刚度法交叉校核位移、内力和整体平衡。不把展示层插值或图像读数直接当数值真值。首轮缺项/冲突仍只评价澄清；信息补齐后才执行最终模型并比对同一引擎参考。</x:v>
      </x:c>
      <x:c r="V222" s="6" t="str">
        <x:v>基础工具；本题新增几何/属性与真值均待独立核验；材料截面代号须在本题附录定值。</x:v>
      </x:c>
      <x:c r="W222" s="6" t="str">
        <x:v>规划，待编题与验证</x:v>
      </x:c>
      <x:c r="X222" s="6" t="str">
        <x:v>OpenSees（按本题杆系与自由度建模的主选；现有工具链仍须逐题验证）。</x:v>
      </x:c>
      <x:c r="Y222" s="19" t="str">
        <x:v>OpenSees</x:v>
      </x:c>
      <x:c r="Z222" s="6" t="str">
        <x:v>异截面固端双跨梁图表冲突为平面梁/刚架的直接力学建模与关键响应校核，规划OpenSees按实际杆段和约束组织分析；先定位第二跨截面图表冲突；确认后恢复左固端、两跨异截面及首跨集中力节点。</x:v>
      </x:c>
      <x:c r="AA222" s="6" t="str">
        <x:v>先确认B2；首跨x=3m的22kN点力须有连通节点，核对剪力跳变量；执行后按原题完整输出：确认后首跨x=3m竖向位移、该点左右剪力及左端弯矩；附与数值一致的模型/结果图。本轮仅规划，不运行。</x:v>
      </x:c>
      <x:c r="AB222" s="6" t="str">
        <x:v>待逐题验证</x:v>
      </x:c>
      <x:c r="AC222" s="6" t="str">
        <x:v>尚未确认本题可通过；接口/求解/读回预检重点：先确认B2；首跨x=3m的22kN点力须有连通节点，核对剪力跳变量。特殊单元、轴向、边界及组合均不因OpenSees原生支持而视作已接通。</x:v>
      </x:c>
      <x:c r="AD222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梁向下10kN/m，首跨x=3m另有向下22kN集中力；未指定组合时仅算题定基本荷载，指定组合逐组执行，不能用软件默认包络替换。</x:v>
      </x:c>
      <x:c r="AE222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2" s="6" t="str">
        <x:v>OPS；COMMON</x:v>
      </x:c>
    </x:row>
    <x:row r="223" ht="108" customHeight="1">
      <x:c r="A223" s="14" t="str">
        <x:v>MM-022</x:v>
      </x:c>
      <x:c r="B223" s="11" t="str">
        <x:v>多模态逆向建模</x:v>
      </x:c>
      <x:c r="C223" s="18" t="str">
        <x:v>M-MM-022</x:v>
      </x:c>
      <x:c r="D223" s="11" t="str">
        <x:v>双侧外伸双跨连续梁：工程标注图</x:v>
      </x:c>
      <x:c r="E223" s="11" t="str">
        <x:v>连续梁</x:v>
      </x:c>
      <x:c r="F223" s="18" t="str">
        <x:v>2D</x:v>
      </x:c>
      <x:c r="G223" s="11" t="str">
        <x:v>工程标注图</x:v>
      </x:c>
      <x:c r="H223" s="18" t="str">
        <x:v>L3</x:v>
      </x:c>
      <x:c r="I223" s="11" t="str">
        <x:v>负坐标是左外伸端位置，三个支点与两个自由端不可混淆。</x:v>
      </x:c>
      <x:c r="J223" s="18" t="str">
        <x:v>英文</x:v>
      </x:c>
      <x:c r="K223" s="11" t="str">
        <x:v>新工程PNG的总图/局部详图给本题几何、连接、支承和荷载位置；图中构件索引关联完整属性表，正文不重述拓扑。所有新附件待制作、盲审与验证。</x:v>
      </x:c>
      <x:c r="L223" s="22" t="n">
        <x:v>1</x:v>
      </x:c>
      <x:c r="M223" s="11" t="str">
        <x:v>几何：梁从x=-2至12m，支点x=0、5、10m；边界：x=0m铰，其余竖向滚支；荷载：全长向下8kN/m，左自由端向下6kN、右自由端向下10kN；属性：统一M1/B1。（本栏是编题规格，实际用户输入按图/表分工呈现。）</x:v>
      </x:c>
      <x:c r="N223" s="11" t="str">
        <x:v>负坐标是左外伸端位置，三个支点与两个自由端不可混淆。</x:v>
      </x:c>
      <x:c r="O223" s="11" t="str">
        <x:v>两自由端竖向位移、x=5m反力；附与数值一致的模型/结果图。</x:v>
      </x:c>
      <x:c r="P223" s="11" t="str">
        <x:v>模型核对：单侧外伸连续梁增加左侧外伸及独立端力，形成两侧悬段。；数值/表述核对：两自由端竖向位移、x=5m反力，位置、方向、单位须一致。</x:v>
      </x:c>
      <x:c r="Q223" s="18" t="str">
        <x:v>新增</x:v>
      </x:c>
      <x:c r="R223" s="11" t="str">
        <x:v>无</x:v>
      </x:c>
      <x:c r="S223" s="11" t="str">
        <x:v>无</x:v>
      </x:c>
      <x:c r="T223" s="11" t="str">
        <x:v>独立模型相对原场景的变化：单侧外伸连续梁增加左侧外伸及独立端力，形成两侧悬段。旧附件须按本模型重绘，旧数值仅作对照。</x:v>
      </x:c>
      <x:c r="U223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23" s="11" t="str">
        <x:v>基础工具；本题新增几何/属性与真值均待独立核验；材料截面代号须在本题附录定值。</x:v>
      </x:c>
      <x:c r="W223" s="11" t="str">
        <x:v>规划，待编题与验证</x:v>
      </x:c>
      <x:c r="X223" s="11" t="str">
        <x:v>OpenSees（按本题杆系与自由度建模的主选；现有工具链仍须逐题验证）。</x:v>
      </x:c>
      <x:c r="Y223" s="18" t="str">
        <x:v>OpenSees</x:v>
      </x:c>
      <x:c r="Z223" s="11" t="str">
        <x:v>双侧外伸双跨连续梁为平面梁/刚架的直接力学建模与关键响应校核，规划OpenSees按实际杆段和约束组织分析；负坐标是左外伸端位置，三个支点与两个自由端不可混淆。</x:v>
      </x:c>
      <x:c r="AA223" s="11" t="str">
        <x:v>保留负坐标左悬段和两端独立点力，支座只在三个明确位置；执行后按原题完整输出：两自由端竖向位移、x=5m反力；附与数值一致的模型/结果图。本轮仅规划，不运行。</x:v>
      </x:c>
      <x:c r="AB223" s="11" t="str">
        <x:v>待逐题验证</x:v>
      </x:c>
      <x:c r="AC223" s="11" t="str">
        <x:v>尚未确认本题可通过；接口/求解/读回预检重点：保留负坐标左悬段和两端独立点力，支座只在三个明确位置。特殊单元、轴向、边界及组合均不因OpenSees原生支持而视作已接通。</x:v>
      </x:c>
      <x:c r="AD223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长向下8kN/m，左自由端向下6kN、右自由端向下10kN；未指定组合时仅算题定基本荷载，指定组合逐组执行，不能用软件默认包络替换。</x:v>
      </x:c>
      <x:c r="AE22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3" s="11" t="str">
        <x:v>OPS；COMMON</x:v>
      </x:c>
    </x:row>
    <x:row r="224" ht="94.5" customHeight="1">
      <x:c r="A224" s="15" t="str">
        <x:v>MM-023</x:v>
      </x:c>
      <x:c r="B224" s="6" t="str">
        <x:v>多模态逆向建模</x:v>
      </x:c>
      <x:c r="C224" s="19" t="str">
        <x:v>M-MM-023</x:v>
      </x:c>
      <x:c r="D224" s="6" t="str">
        <x:v>双跨梁一端固定与支座点力：力学简图</x:v>
      </x:c>
      <x:c r="E224" s="6" t="str">
        <x:v>连续梁</x:v>
      </x:c>
      <x:c r="F224" s="19" t="str">
        <x:v>2D</x:v>
      </x:c>
      <x:c r="G224" s="6" t="str">
        <x:v>力学简图</x:v>
      </x:c>
      <x:c r="H224" s="19" t="str">
        <x:v>L2</x:v>
      </x:c>
      <x:c r="I224" s="6" t="str">
        <x:v>支座点力和跨内点力位置相近但作用不同，末端固定需保留。</x:v>
      </x:c>
      <x:c r="J224" s="19" t="str">
        <x:v>中文</x:v>
      </x:c>
      <x:c r="K224" s="6" t="str">
        <x:v>新PNG独占本题几何尺寸、连接、支座与荷载图示；附录只给完整材料/截面及求解设置，不转写图内几何。所有新附件待制作、盲审与验证。</x:v>
      </x:c>
      <x:c r="L224" s="23" t="n">
        <x:v>1</x:v>
      </x:c>
      <x:c r="M224" s="6" t="str">
        <x:v>几何：连续梁两跨4、6m；边界：左端铰、中支点竖向滚支、右端固支；荷载：中支点向下30kN，长跨中点向下20kN；属性：统一M1/B1。（本栏是编题规格，实际用户输入按图/表分工呈现。）</x:v>
      </x:c>
      <x:c r="N224" s="6" t="str">
        <x:v>支座点力和跨内点力位置相近但作用不同，末端固定需保留。</x:v>
      </x:c>
      <x:c r="O224" s="6" t="str">
        <x:v>长跨中点位移、中支座反力与右端弯矩；附与数值一致的模型/结果图。</x:v>
      </x:c>
      <x:c r="P224" s="6" t="str">
        <x:v>模型核对：将末端滚支改为固支，支座荷载与内力分配的关系改变。；数值/表述核对：长跨中点位移、中支座反力与右端弯矩，位置、方向、单位须一致。</x:v>
      </x:c>
      <x:c r="Q224" s="19" t="str">
        <x:v>新增</x:v>
      </x:c>
      <x:c r="R224" s="6" t="str">
        <x:v>无</x:v>
      </x:c>
      <x:c r="S224" s="6" t="str">
        <x:v>无</x:v>
      </x:c>
      <x:c r="T224" s="6" t="str">
        <x:v>独立模型相对原场景的变化：将末端滚支改为固支，支座荷载与内力分配的关系改变。旧附件须按本模型重绘，旧数值仅作对照。</x:v>
      </x:c>
      <x:c r="U224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24" s="6" t="str">
        <x:v>基础工具；本题新增几何/属性与真值均待独立核验；材料截面代号须在本题附录定值。</x:v>
      </x:c>
      <x:c r="W224" s="6" t="str">
        <x:v>规划，待编题与验证</x:v>
      </x:c>
      <x:c r="X224" s="6" t="str">
        <x:v>OpenSees（按本题杆系与自由度建模的主选；现有工具链仍须逐题验证）。</x:v>
      </x:c>
      <x:c r="Y224" s="19" t="str">
        <x:v>OpenSees</x:v>
      </x:c>
      <x:c r="Z224" s="6" t="str">
        <x:v>双跨梁一端固定与支座点力为平面梁/刚架的直接力学建模与关键响应校核，规划OpenSees按实际杆段和约束组织分析；支座点力和跨内点力位置相近但作用不同，末端固定需保留。</x:v>
      </x:c>
      <x:c r="AA224" s="6" t="str">
        <x:v>中支点30kN应入节点外力账，不能错误形成相邻跨内点载；执行后按原题完整输出：长跨中点位移、中支座反力与右端弯矩；附与数值一致的模型/结果图。本轮仅规划，不运行。</x:v>
      </x:c>
      <x:c r="AB224" s="6" t="str">
        <x:v>待逐题验证</x:v>
      </x:c>
      <x:c r="AC224" s="6" t="str">
        <x:v>尚未确认本题可通过；接口/求解/读回预检重点：中支点30kN应入节点外力账，不能错误形成相邻跨内点载。特殊单元、轴向、边界及组合均不因OpenSees原生支持而视作已接通。</x:v>
      </x:c>
      <x:c r="AD224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中支点向下30kN，长跨中点向下20kN；未指定组合时仅算题定基本荷载，指定组合逐组执行，不能用软件默认包络替换。</x:v>
      </x:c>
      <x:c r="AE22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4" s="6" t="str">
        <x:v>OPS；COMMON</x:v>
      </x:c>
    </x:row>
    <x:row r="225" ht="108" customHeight="1">
      <x:c r="A225" s="14" t="str">
        <x:v>MM-024</x:v>
      </x:c>
      <x:c r="B225" s="11" t="str">
        <x:v>多模态逆向建模</x:v>
      </x:c>
      <x:c r="C225" s="18" t="str">
        <x:v>M-MM-024</x:v>
      </x:c>
      <x:c r="D225" s="11" t="str">
        <x:v>四跨分区上拔连续梁：图表联合</x:v>
      </x:c>
      <x:c r="E225" s="11" t="str">
        <x:v>连续梁</x:v>
      </x:c>
      <x:c r="F225" s="18" t="str">
        <x:v>2D</x:v>
      </x:c>
      <x:c r="G225" s="11" t="str">
        <x:v>图表联合</x:v>
      </x:c>
      <x:c r="H225" s="18" t="str">
        <x:v>L3</x:v>
      </x:c>
      <x:c r="I225" s="11" t="str">
        <x:v>两个不相邻风区在四跨图中定位，组合保留符号。</x:v>
      </x:c>
      <x:c r="J225" s="18" t="str">
        <x:v>英文</x:v>
      </x:c>
      <x:c r="K225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25" s="22" t="n">
        <x:v>1</x:v>
      </x:c>
      <x:c r="M225" s="11" t="str">
        <x:v>几何：连续梁跨度5、4、6、3m；边界：左铰、其余四个支点竖向滚支；荷载：D全跨向下8kN/m，W仅第二与第四跨向上6kN/m；组合D、D+W；属性：统一M1/B1。（本栏是编题规格，实际用户输入按图/表分工呈现。）</x:v>
      </x:c>
      <x:c r="N225" s="11" t="str">
        <x:v>两个不相邻风区在四跨图中定位，组合保留符号。</x:v>
      </x:c>
      <x:c r="O225" s="11" t="str">
        <x:v>第二与第四跨中点位移、末支座反力符号；附与数值一致的模型/结果图。</x:v>
      </x:c>
      <x:c r="P225" s="11" t="str">
        <x:v>模型核对：三跨单一上拔区改为四跨两处上拔区，拓扑和加载模式同时改变。；数值/表述核对：第二与第四跨中点位移、末支座反力符号，位置、方向、单位须一致。</x:v>
      </x:c>
      <x:c r="Q225" s="18" t="str">
        <x:v>新增</x:v>
      </x:c>
      <x:c r="R225" s="11" t="str">
        <x:v>无</x:v>
      </x:c>
      <x:c r="S225" s="11" t="str">
        <x:v>无</x:v>
      </x:c>
      <x:c r="T225" s="11" t="str">
        <x:v>独立模型相对原场景的变化：三跨单一上拔区改为四跨两处上拔区，拓扑和加载模式同时改变。旧附件须按本模型重绘，旧数值仅作对照。</x:v>
      </x:c>
      <x:c r="U225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25" s="11" t="str">
        <x:v>多组合执行契约需验证；本题新增几何/属性与真值均待独立核验；材料截面代号须在本题附录定值。</x:v>
      </x:c>
      <x:c r="W225" s="11" t="str">
        <x:v>规划，待编题与验证</x:v>
      </x:c>
      <x:c r="X225" s="11" t="str">
        <x:v>OpenSees（按本题杆系与自由度建模的主选；现有工具链仍须逐题验证）。</x:v>
      </x:c>
      <x:c r="Y225" s="18" t="str">
        <x:v>OpenSees</x:v>
      </x:c>
      <x:c r="Z225" s="11" t="str">
        <x:v>四跨分区上拔连续梁为平面梁/刚架的直接力学建模与关键响应校核，规划OpenSees按实际杆段和约束组织分析；两个不相邻风区在四跨图中定位，组合保留符号。</x:v>
      </x:c>
      <x:c r="AA225" s="11" t="str">
        <x:v>W仅第二和第四跨向上；D与D+W逐组存储，不套默认包络；执行后按原题完整输出：第二与第四跨中点位移、末支座反力符号；附与数值一致的模型/结果图。本轮仅规划，不运行。</x:v>
      </x:c>
      <x:c r="AB225" s="11" t="str">
        <x:v>待逐题验证</x:v>
      </x:c>
      <x:c r="AC225" s="11" t="str">
        <x:v>尚未确认本题可通过；接口/求解/读回预检重点：W仅第二和第四跨向上；D与D+W逐组存储，不套默认包络。特殊单元、轴向、边界及组合均不因OpenSees原生支持而视作已接通。</x:v>
      </x:c>
      <x:c r="AD225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D全跨向下8kN/m，W仅第二与第四跨向上6kN/m；组合D、D+W；未指定组合时仅算题定基本荷载，指定组合逐组执行，不能用软件默认包络替换。</x:v>
      </x:c>
      <x:c r="AE22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5" s="11" t="str">
        <x:v>OPS；COMMON</x:v>
      </x:c>
    </x:row>
    <x:row r="226" ht="94.5" customHeight="1">
      <x:c r="A226" s="15" t="str">
        <x:v>MM-025</x:v>
      </x:c>
      <x:c r="B226" s="6" t="str">
        <x:v>多模态逆向建模</x:v>
      </x:c>
      <x:c r="C226" s="19" t="str">
        <x:v>M-MM-025</x:v>
      </x:c>
      <x:c r="D226" s="6" t="str">
        <x:v>两端固定双跨梁中支座力矩：力学简图</x:v>
      </x:c>
      <x:c r="E226" s="6" t="str">
        <x:v>连续梁</x:v>
      </x:c>
      <x:c r="F226" s="19" t="str">
        <x:v>2D</x:v>
      </x:c>
      <x:c r="G226" s="6" t="str">
        <x:v>力学简图</x:v>
      </x:c>
      <x:c r="H226" s="19" t="str">
        <x:v>L3</x:v>
      </x:c>
      <x:c r="I226" s="6" t="str">
        <x:v>力矩作用在旋转自由的中支点，两端的转角则被约束。</x:v>
      </x:c>
      <x:c r="J226" s="19" t="str">
        <x:v>中文</x:v>
      </x:c>
      <x:c r="K226" s="6" t="str">
        <x:v>新PNG独占本题几何尺寸、连接、支座与荷载图示；附录只给完整材料/截面及求解设置，不转写图内几何。所有新附件待制作、盲审与验证。</x:v>
      </x:c>
      <x:c r="L226" s="23" t="n">
        <x:v>1</x:v>
      </x:c>
      <x:c r="M226" s="6" t="str">
        <x:v>几何：两跨各5m的连续梁；边界：左右两端均固定，中支点仅竖向滚支；荷载：全跨向下6kN/m，在中支点施加全局Y轴+20kN·m；属性：统一M1/B1，中支点无内铰。（本栏是编题规格，实际用户输入按图/表分工呈现。）</x:v>
      </x:c>
      <x:c r="N226" s="6" t="str">
        <x:v>力矩作用在旋转自由的中支点，两端的转角则被约束。</x:v>
      </x:c>
      <x:c r="O226" s="6" t="str">
        <x:v>中支点转角、左右固定端弯矩；附与数值一致的模型/结果图。</x:v>
      </x:c>
      <x:c r="P226" s="6" t="str">
        <x:v>模型核对：把末端节点力矩移到连续中支点，同时改为双固端边界。；数值/表述核对：中支点转角、左右固定端弯矩，位置、方向、单位须一致。</x:v>
      </x:c>
      <x:c r="Q226" s="19" t="str">
        <x:v>新增</x:v>
      </x:c>
      <x:c r="R226" s="6" t="str">
        <x:v>无</x:v>
      </x:c>
      <x:c r="S226" s="6" t="str">
        <x:v>无</x:v>
      </x:c>
      <x:c r="T226" s="6" t="str">
        <x:v>独立模型相对原场景的变化：把末端节点力矩移到连续中支点，同时改为双固端边界。旧附件须按本模型重绘，旧数值仅作对照。</x:v>
      </x:c>
      <x:c r="U226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26" s="6" t="str">
        <x:v>节点力矩输入需验证；本题新增几何/属性与真值均待独立核验；材料截面代号须在本题附录定值。节点力矩输入与符号契约待验证。</x:v>
      </x:c>
      <x:c r="W226" s="6" t="str">
        <x:v>规划，待编题与验证</x:v>
      </x:c>
      <x:c r="X226" s="6" t="str">
        <x:v>OpenSees（按本题杆系与自由度建模的主选；现有工具链仍须逐题验证）。</x:v>
      </x:c>
      <x:c r="Y226" s="19" t="str">
        <x:v>OpenSees</x:v>
      </x:c>
      <x:c r="Z226" s="6" t="str">
        <x:v>两端固定双跨梁中支座力矩为平面梁/刚架的直接力学建模与关键响应校核，规划OpenSees按实际杆段和约束组织分析；力矩作用在旋转自由的中支点，两端的转角则被约束。</x:v>
      </x:c>
      <x:c r="AA226" s="6" t="str">
        <x:v>中支点转角自由，Y轴力矩在该点施加；两端仍为固定约束；执行后按原题完整输出：中支点转角、左右固定端弯矩；附与数值一致的模型/结果图。本轮仅规划，不运行。</x:v>
      </x:c>
      <x:c r="AB226" s="6" t="str">
        <x:v>待逐题验证</x:v>
      </x:c>
      <x:c r="AC226" s="6" t="str">
        <x:v>尚未确认本题可通过；接口/求解/读回预检重点：中支点转角自由，Y轴力矩在该点施加；两端仍为固定约束。特殊单元、轴向、边界及组合均不因OpenSees原生支持而视作已接通。</x:v>
      </x:c>
      <x:c r="AD226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跨向下6kN/m，在中支点施加全局Y轴+20kN·m；未指定组合时仅算题定基本荷载，指定组合逐组执行，不能用软件默认包络替换。</x:v>
      </x:c>
      <x:c r="AE22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6" s="6" t="str">
        <x:v>OPS；COMMON</x:v>
      </x:c>
    </x:row>
    <x:row r="227" ht="108" customHeight="1">
      <x:c r="A227" s="14" t="str">
        <x:v>MM-026</x:v>
      </x:c>
      <x:c r="B227" s="11" t="str">
        <x:v>多模态逆向建模</x:v>
      </x:c>
      <x:c r="C227" s="18" t="str">
        <x:v>M-MM-026</x:v>
      </x:c>
      <x:c r="D227" s="11" t="str">
        <x:v>五跨异截面分跨工况梁：结构DXF</x:v>
      </x:c>
      <x:c r="E227" s="11" t="str">
        <x:v>连续梁</x:v>
      </x:c>
      <x:c r="F227" s="18" t="str">
        <x:v>2D</x:v>
      </x:c>
      <x:c r="G227" s="11" t="str">
        <x:v>结构DXF</x:v>
      </x:c>
      <x:c r="H227" s="18" t="str">
        <x:v>L3</x:v>
      </x:c>
      <x:c r="I227" s="11" t="str">
        <x:v>五跨编号与非连续荷载区、三跨连续属性组分别对应。</x:v>
      </x:c>
      <x:c r="J227" s="18" t="str">
        <x:v>英文</x:v>
      </x:c>
      <x:c r="K227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27" s="22" t="n">
        <x:v>1</x:v>
      </x:c>
      <x:c r="M227" s="11" t="str">
        <x:v>几何：连续梁跨度4、6、5、4、3m；边界：左铰、其余五个支点竖向滚支；荷载：D全跨向下7kN/m，L仅第二第四跨向下10kN/m；组合D、D+L；属性：中间三跨B2，首末跨B1，同一M1。（本栏是编题规格，实际用户输入按图/表分工呈现。）</x:v>
      </x:c>
      <x:c r="N227" s="11" t="str">
        <x:v>五跨编号与非连续荷载区、三跨连续属性组分别对应。</x:v>
      </x:c>
      <x:c r="O227" s="11" t="str">
        <x:v>第三跨中点位移、第四支点弯矩的两组合值；附与数值一致的模型/结果图。</x:v>
      </x:c>
      <x:c r="P227" s="11" t="str">
        <x:v>模型核对：四跨梁增加第五跨，截面组由中间两跨改为三跨。；数值/表述核对：第三跨中点位移、第四支点弯矩的两组合值，位置、方向、单位须一致。</x:v>
      </x:c>
      <x:c r="Q227" s="18" t="str">
        <x:v>新增</x:v>
      </x:c>
      <x:c r="R227" s="11" t="str">
        <x:v>无</x:v>
      </x:c>
      <x:c r="S227" s="11" t="str">
        <x:v>无</x:v>
      </x:c>
      <x:c r="T227" s="11" t="str">
        <x:v>独立模型相对原场景的变化：四跨梁增加第五跨，截面组由中间两跨改为三跨。旧附件须按本模型重绘，旧数值仅作对照。</x:v>
      </x:c>
      <x:c r="U227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27" s="11" t="str">
        <x:v>多组合执行契约需验证；本题新增几何/属性与真值均待独立核验；材料截面代号须在本题附录定值。</x:v>
      </x:c>
      <x:c r="W227" s="11" t="str">
        <x:v>规划，待编题与验证</x:v>
      </x:c>
      <x:c r="X227" s="11" t="str">
        <x:v>OpenSees（按本题杆系与自由度建模的主选；现有工具链仍须逐题验证）。</x:v>
      </x:c>
      <x:c r="Y227" s="18" t="str">
        <x:v>OpenSees</x:v>
      </x:c>
      <x:c r="Z227" s="11" t="str">
        <x:v>五跨异截面分跨工况梁为平面梁/刚架的直接力学建模与关键响应校核，规划OpenSees按实际杆段和约束组织分析；五跨编号与非连续荷载区、三跨连续属性组分别对应。</x:v>
      </x:c>
      <x:c r="AA227" s="11" t="str">
        <x:v>五跨连接完整；B1/B2分组与D/L作用跨分别映射并逐组合读取；执行后按原题完整输出：第三跨中点位移、第四支点弯矩的两组合值；附与数值一致的模型/结果图。本轮仅规划，不运行。</x:v>
      </x:c>
      <x:c r="AB227" s="11" t="str">
        <x:v>待逐题验证</x:v>
      </x:c>
      <x:c r="AC227" s="11" t="str">
        <x:v>尚未确认本题可通过；接口/求解/读回预检重点：五跨连接完整；B1/B2分组与D/L作用跨分别映射并逐组合读取。特殊单元、轴向、边界及组合均不因OpenSees原生支持而视作已接通。</x:v>
      </x:c>
      <x:c r="AD227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D全跨向下7kN/m，L仅第二第四跨向下10kN/m；组合D、D+L；未指定组合时仅算题定基本荷载，指定组合逐组执行，不能用软件默认包络替换。</x:v>
      </x:c>
      <x:c r="AE22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7" s="11" t="str">
        <x:v>OPS；COMMON</x:v>
      </x:c>
    </x:row>
    <x:row r="228" ht="108" customHeight="1">
      <x:c r="A228" s="15" t="str">
        <x:v>MM-027</x:v>
      </x:c>
      <x:c r="B228" s="6" t="str">
        <x:v>多模态逆向建模</x:v>
      </x:c>
      <x:c r="C228" s="19" t="str">
        <x:v>M-MM-027</x:v>
      </x:c>
      <x:c r="D228" s="6" t="str">
        <x:v>六节间Pratt桁架读图：工程标注图</x:v>
      </x:c>
      <x:c r="E228" s="6" t="str">
        <x:v>桁架</x:v>
      </x:c>
      <x:c r="F228" s="19" t="str">
        <x:v>2D</x:v>
      </x:c>
      <x:c r="G228" s="6" t="str">
        <x:v>工程标注图</x:v>
      </x:c>
      <x:c r="H228" s="19" t="str">
        <x:v>L2</x:v>
      </x:c>
      <x:c r="I228" s="6" t="str">
        <x:v>六节间和斜杆朝向由图决定，不能照抄五节间模板。</x:v>
      </x:c>
      <x:c r="J228" s="19" t="str">
        <x:v>中文</x:v>
      </x:c>
      <x:c r="K228" s="6" t="str">
        <x:v>新工程PNG的总图/局部详图给本题几何、连接、支承和荷载位置；图中构件索引关联完整属性表，正文不重述拓扑。所有新附件待制作、盲审与验证。</x:v>
      </x:c>
      <x:c r="L228" s="23" t="n">
        <x:v>1</x:v>
      </x:c>
      <x:c r="M228" s="6" t="str">
        <x:v>几何：XZ面下弦x=0、2.5、5、7.5、10、12.5、15m且z=0，上弦同x且z=2.5m；各弦相邻节点连接，七根竖杆，六根斜杆朝跨中倾斜；边界：左下铰、右下竖向滚支；荷载：五个内部上弦节点各向下10kN；属性：全部杆仅承轴力，统一M1/A1。（本栏是编题规格，实际用户输入按图/表分工呈现。）</x:v>
      </x:c>
      <x:c r="N228" s="6" t="str">
        <x:v>六节间和斜杆朝向由图决定，不能照抄五节间模板。</x:v>
      </x:c>
      <x:c r="O228" s="6" t="str">
        <x:v>跨中上弦Uz、左端腹杆轴力；附与数值一致的模型/结果图。</x:v>
      </x:c>
      <x:c r="P228" s="6" t="str">
        <x:v>模型核对：五节间改六节间并相应改变腹杆与上弦加载节点数量。；数值/表述核对：跨中上弦Uz、左端腹杆轴力，位置、方向、单位须一致。</x:v>
      </x:c>
      <x:c r="Q228" s="19" t="str">
        <x:v>新增</x:v>
      </x:c>
      <x:c r="R228" s="6" t="str">
        <x:v>无</x:v>
      </x:c>
      <x:c r="S228" s="6" t="str">
        <x:v>无</x:v>
      </x:c>
      <x:c r="T228" s="6" t="str">
        <x:v>独立模型相对原场景的变化：五节间改六节间并相应改变腹杆与上弦加载节点数量。旧附件须按本模型重绘，旧数值仅作对照。基础来源：truss-pratt-static。</x:v>
      </x:c>
      <x:c r="U228" s="6" t="str">
        <x:v>独立建立并复核OpenSees参考模型，固定版本/求解设置及观测位置；以独立线性刚度解、节点力平衡和整体平衡交叉核对。不把展示层插值或图像读数直接当数值真值。</x:v>
      </x:c>
      <x:c r="V228" s="6" t="str">
        <x:v>基础工具；本题新增几何/属性与真值均待独立核验；材料截面代号须在本题附录定值。</x:v>
      </x:c>
      <x:c r="W228" s="6" t="str">
        <x:v>规划，待编题与验证</x:v>
      </x:c>
      <x:c r="X228" s="6" t="str">
        <x:v>OpenSees（按本题杆系与自由度建模的主选；现有工具链仍须逐题验证）。</x:v>
      </x:c>
      <x:c r="Y228" s="19" t="str">
        <x:v>OpenSees</x:v>
      </x:c>
      <x:c r="Z228" s="6" t="str">
        <x:v>六节间Pratt桁架读图以真实杆端连接、轴力与节点位移为主，规划OpenSees纯轴力单元；六节间和斜杆朝向由图决定，不能照抄五节间模板。</x:v>
      </x:c>
      <x:c r="AA228" s="6" t="str">
        <x:v>核对14节点、逐杆方向和内部上弦加载点，使用纯轴力杆；执行后按原题完整输出：跨中上弦Uz、左端腹杆轴力；附与数值一致的模型/结果图。本轮仅规划，不运行。</x:v>
      </x:c>
      <x:c r="AB228" s="6" t="str">
        <x:v>待逐题验证</x:v>
      </x:c>
      <x:c r="AC228" s="6" t="str">
        <x:v>尚未确认本题可通过；接口/求解/读回预检重点：核对14节点、逐杆方向和内部上弦加载点，使用纯轴力杆。特殊单元、轴向、边界及组合均不因OpenSees原生支持而视作已接通。</x:v>
      </x:c>
      <x:c r="AD228" s="6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五个内部上弦节点各向下10kN；未指定组合时仅算题定基本荷载，指定组合逐组执行，不能用软件默认包络替换。</x:v>
      </x:c>
      <x:c r="AE22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8" s="6" t="str">
        <x:v>OPS；COMMON</x:v>
      </x:c>
    </x:row>
    <x:row r="229" ht="108" customHeight="1">
      <x:c r="A229" s="14" t="str">
        <x:v>MM-028</x:v>
      </x:c>
      <x:c r="B229" s="11" t="str">
        <x:v>多模态逆向建模</x:v>
      </x:c>
      <x:c r="C229" s="18" t="str">
        <x:v>M-MM-028</x:v>
      </x:c>
      <x:c r="D229" s="11" t="str">
        <x:v>非对称梯形桁架右半偏载：工程标注图</x:v>
      </x:c>
      <x:c r="E229" s="11" t="str">
        <x:v>桁架</x:v>
      </x:c>
      <x:c r="F229" s="18" t="str">
        <x:v>2D</x:v>
      </x:c>
      <x:c r="G229" s="11" t="str">
        <x:v>工程标注图</x:v>
      </x:c>
      <x:c r="H229" s="18" t="str">
        <x:v>L3</x:v>
      </x:c>
      <x:c r="I229" s="11" t="str">
        <x:v>非对称高度表和右半下弦载荷需与施工图节点标签对应。</x:v>
      </x:c>
      <x:c r="J229" s="18" t="str">
        <x:v>英文</x:v>
      </x:c>
      <x:c r="K229" s="11" t="str">
        <x:v>新工程PNG的总图/局部详图给本题几何、连接、支承和荷载位置；图中构件索引关联完整属性表，正文不重述拓扑。所有新附件待制作、盲审与验证。</x:v>
      </x:c>
      <x:c r="L229" s="22" t="n">
        <x:v>1</x:v>
      </x:c>
      <x:c r="M229" s="11" t="str">
        <x:v>几何：上下弦各7节点，x=0、3、6、9、12、15、18m；下弦z=0，上弦z依次1.6、2、2.4、2.8、3、2.4、1.6m；两弦相邻连接、七竖杆、各格下左至上右斜杆；边界：左下铰右下滚支；荷载：下弦x=9、12、15m各向下15kN；属性：轴力杆M1/A1。（本栏是编题规格，实际用户输入按图/表分工呈现。）</x:v>
      </x:c>
      <x:c r="N229" s="11" t="str">
        <x:v>非对称高度表和右半下弦载荷需与施工图节点标签对应。</x:v>
      </x:c>
      <x:c r="O229" s="11" t="str">
        <x:v>x=12m上弦Uz、最右斜杆轴力；附与数值一致的模型/结果图。</x:v>
      </x:c>
      <x:c r="P229" s="11" t="str">
        <x:v>模型核对：对称梯形改为峰值偏右的上弦轮廓，荷载收缩为右半下弦偏载。；数值/表述核对：x=12m上弦Uz、最右斜杆轴力，位置、方向、单位须一致。</x:v>
      </x:c>
      <x:c r="Q229" s="18" t="str">
        <x:v>旧题改编</x:v>
      </x:c>
      <x:c r="R229" s="11" t="str">
        <x:v>re-truss-complex-trap-construction</x:v>
      </x:c>
      <x:c r="S229" s="11" t="str">
        <x:v>无</x:v>
      </x:c>
      <x:c r="T229" s="11" t="str">
        <x:v>独立模型相对原场景的变化：对称梯形改为峰值偏右的上弦轮廓，荷载收缩为右半下弦偏载。旧附件须按本模型重绘，旧数值仅作对照。基础来源：truss-trapezoidal-static。多模态机制来源：re-truss-complex-trap-construction。</x:v>
      </x:c>
      <x:c r="U229" s="11" t="str">
        <x:v>独立建立并复核OpenSees参考模型，固定版本/求解设置及观测位置；以独立线性刚度解、节点力平衡和整体平衡交叉核对。不把展示层插值或图像读数直接当数值真值。</x:v>
      </x:c>
      <x:c r="V229" s="11" t="str">
        <x:v>基础工具；本题新增几何/属性与真值均待独立核验；材料截面代号须在本题附录定值。</x:v>
      </x:c>
      <x:c r="W229" s="11" t="str">
        <x:v>规划，待编题与验证</x:v>
      </x:c>
      <x:c r="X229" s="11" t="str">
        <x:v>OpenSees（按本题杆系与自由度建模的主选；现有工具链仍须逐题验证）。</x:v>
      </x:c>
      <x:c r="Y229" s="18" t="str">
        <x:v>OpenSees</x:v>
      </x:c>
      <x:c r="Z229" s="11" t="str">
        <x:v>非对称梯形桁架右半偏载以真实杆端连接、轴力与节点位移为主，规划OpenSees纯轴力单元；非对称高度表和右半下弦载荷需与施工图节点标签对应。</x:v>
      </x:c>
      <x:c r="AA229" s="11" t="str">
        <x:v>按七个不同上弦标高连接，加载仅右半下弦；先查机构与刚体运动；执行后按原题完整输出：x=12m上弦Uz、最右斜杆轴力；附与数值一致的模型/结果图。本轮仅规划，不运行。</x:v>
      </x:c>
      <x:c r="AB229" s="11" t="str">
        <x:v>待逐题验证</x:v>
      </x:c>
      <x:c r="AC229" s="11" t="str">
        <x:v>尚未确认本题可通过；接口/求解/读回预检重点：按七个不同上弦标高连接，加载仅右半下弦；先查机构与刚体运动。特殊单元、轴向、边界及组合均不因OpenSees原生支持而视作已接通。</x:v>
      </x:c>
      <x:c r="AD229" s="11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下弦x=9、12、15m各向下15kN；未指定组合时仅算题定基本荷载，指定组合逐组执行，不能用软件默认包络替换。</x:v>
      </x:c>
      <x:c r="AE22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29" s="11" t="str">
        <x:v>OPS；COMMON</x:v>
      </x:c>
    </x:row>
    <x:row r="230" ht="108" customHeight="1">
      <x:c r="A230" s="15" t="str">
        <x:v>MM-029</x:v>
      </x:c>
      <x:c r="B230" s="6" t="str">
        <x:v>多模态逆向建模</x:v>
      </x:c>
      <x:c r="C230" s="19" t="str">
        <x:v>M-MM-029</x:v>
      </x:c>
      <x:c r="D230" s="6" t="str">
        <x:v>七节点三角屋架：力学简图</x:v>
      </x:c>
      <x:c r="E230" s="6" t="str">
        <x:v>桁架</x:v>
      </x:c>
      <x:c r="F230" s="19" t="str">
        <x:v>2D</x:v>
      </x:c>
      <x:c r="G230" s="6" t="str">
        <x:v>力学简图</x:v>
      </x:c>
      <x:c r="H230" s="19" t="str">
        <x:v>L2</x:v>
      </x:c>
      <x:c r="I230" s="6" t="str">
        <x:v>七节点十一杆必须逐边恢复，两个斜腹杆汇入屋脊。</x:v>
      </x:c>
      <x:c r="J230" s="19" t="str">
        <x:v>中文</x:v>
      </x:c>
      <x:c r="K230" s="6" t="str">
        <x:v>新PNG独占本题几何尺寸、连接、支座与荷载图示；附录只给完整材料/截面及求解设置，不转写图内几何。所有新附件待制作、盲审与验证。</x:v>
      </x:c>
      <x:c r="L230" s="23" t="n">
        <x:v>1</x:v>
      </x:c>
      <x:c r="M230" s="6" t="str">
        <x:v>几何：下弦节点(0,0)、(4,0)、(8,0)、(12,0)m，上部节点(4,2)、(6,3)、(8,2)m；下弦三杆、上轮廓四杆，另连(4,0)-(4,2)、(8,0)-(8,2)、(4,0)-(6,3)、(8,0)-(6,3)；边界：两端铰滚；荷载：三个上部节点各向下20kN；属性：轴力杆M1/A1。（本栏是编题规格，实际用户输入按图/表分工呈现。）</x:v>
      </x:c>
      <x:c r="N230" s="6" t="str">
        <x:v>七节点十一杆必须逐边恢复，两个斜腹杆汇入屋脊。</x:v>
      </x:c>
      <x:c r="O230" s="6" t="str">
        <x:v>屋脊Uz、左侧屋脊腹杆轴力；附与数值一致的模型/结果图。</x:v>
      </x:c>
      <x:c r="P230" s="6" t="str">
        <x:v>模型核对：原六节点特殊连杆桁架改为七节点十一杆屋架，连通关系实质变化。；数值/表述核对：屋脊Uz、左侧屋脊腹杆轴力，位置、方向、单位须一致。</x:v>
      </x:c>
      <x:c r="Q230" s="19" t="str">
        <x:v>旧题改编</x:v>
      </x:c>
      <x:c r="R230" s="6" t="str">
        <x:v>image-truss-diagram</x:v>
      </x:c>
      <x:c r="S230" s="6" t="str">
        <x:v>无</x:v>
      </x:c>
      <x:c r="T230" s="6" t="str">
        <x:v>独立模型相对原场景的变化：原六节点特殊连杆桁架改为七节点十一杆屋架，连通关系实质变化。旧附件须按本模型重绘，旧数值仅作对照。基础来源：truss-triangle-static。多模态机制来源：image-truss-diagram。</x:v>
      </x:c>
      <x:c r="U230" s="6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0" s="6" t="str">
        <x:v>基础工具；本题新增几何/属性与真值均待独立核验；材料截面代号须在本题附录定值。</x:v>
      </x:c>
      <x:c r="W230" s="6" t="str">
        <x:v>规划，待编题与验证</x:v>
      </x:c>
      <x:c r="X230" s="6" t="str">
        <x:v>OpenSees（按本题杆系与自由度建模的主选；现有工具链仍须逐题验证）。</x:v>
      </x:c>
      <x:c r="Y230" s="19" t="str">
        <x:v>OpenSees</x:v>
      </x:c>
      <x:c r="Z230" s="6" t="str">
        <x:v>七节点三角屋架以真实杆端连接、轴力与节点位移为主，规划OpenSees纯轴力单元；七节点十一杆必须逐边恢复，两个斜腹杆汇入屋脊。</x:v>
      </x:c>
      <x:c r="AA230" s="6" t="str">
        <x:v>显式建立七节点十一杆，不按三角屋架名称猜腹杆连接；执行后按原题完整输出：屋脊Uz、左侧屋脊腹杆轴力；附与数值一致的模型/结果图。本轮仅规划，不运行。</x:v>
      </x:c>
      <x:c r="AB230" s="6" t="str">
        <x:v>待逐题验证</x:v>
      </x:c>
      <x:c r="AC230" s="6" t="str">
        <x:v>尚未确认本题可通过；接口/求解/读回预检重点：显式建立七节点十一杆，不按三角屋架名称猜腹杆连接。特殊单元、轴向、边界及组合均不因OpenSees原生支持而视作已接通。</x:v>
      </x:c>
      <x:c r="AD230" s="6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三个上部节点各向下20kN；未指定组合时仅算题定基本荷载，指定组合逐组执行，不能用软件默认包络替换。</x:v>
      </x:c>
      <x:c r="AE230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0" s="6" t="str">
        <x:v>OPS；COMMON</x:v>
      </x:c>
    </x:row>
    <x:row r="231" ht="108" customHeight="1">
      <x:c r="A231" s="14" t="str">
        <x:v>MM-030</x:v>
      </x:c>
      <x:c r="B231" s="11" t="str">
        <x:v>多模态逆向建模</x:v>
      </x:c>
      <x:c r="C231" s="18" t="str">
        <x:v>M-MM-030</x:v>
      </x:c>
      <x:c r="D231" s="11" t="str">
        <x:v>无竖杆交错节点Warren桁架：结构DXF</x:v>
      </x:c>
      <x:c r="E231" s="11" t="str">
        <x:v>桁架</x:v>
      </x:c>
      <x:c r="F231" s="18" t="str">
        <x:v>2D</x:v>
      </x:c>
      <x:c r="G231" s="11" t="str">
        <x:v>结构DXF</x:v>
      </x:c>
      <x:c r="H231" s="18" t="str">
        <x:v>L2</x:v>
      </x:c>
      <x:c r="I231" s="11" t="str">
        <x:v>上下节点错开半节间，不能把不存在的竖杆补上。</x:v>
      </x:c>
      <x:c r="J231" s="18" t="str">
        <x:v>英文</x:v>
      </x:c>
      <x:c r="K231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31" s="22" t="n">
        <x:v>1</x:v>
      </x:c>
      <x:c r="M231" s="11" t="str">
        <x:v>几何：下弦7节点x=0至12m每2m一个、z=0；上弦6节点x=1、3、5、7、9、11m、z=2m；上下弦各自相邻连接，每个上节点连相邻两个下节点，无竖杆；边界：左右下端铰滚；荷载：六上节点各向下8kN；属性：轴力杆M1/A1。（本栏是编题规格，实际用户输入按图/表分工呈现。）</x:v>
      </x:c>
      <x:c r="N231" s="11" t="str">
        <x:v>上下节点错开半节间，不能把不存在的竖杆补上。</x:v>
      </x:c>
      <x:c r="O231" s="11" t="str">
        <x:v>x=5m上弦Uz、最左斜杆轴力；附与数值一致的模型/结果图。</x:v>
      </x:c>
      <x:c r="P231" s="11" t="str">
        <x:v>模型核对：带竖杆同列节点改成无竖杆交错节点，荷载转移到上弦。；数值/表述核对：x=5m上弦Uz、最左斜杆轴力，位置、方向、单位须一致。</x:v>
      </x:c>
      <x:c r="Q231" s="18" t="str">
        <x:v>新增</x:v>
      </x:c>
      <x:c r="R231" s="11" t="str">
        <x:v>无</x:v>
      </x:c>
      <x:c r="S231" s="11" t="str">
        <x:v>无</x:v>
      </x:c>
      <x:c r="T231" s="11" t="str">
        <x:v>独立模型相对原场景的变化：带竖杆同列节点改成无竖杆交错节点，荷载转移到上弦。旧附件须按本模型重绘，旧数值仅作对照。基础来源：truss-warren-en。</x:v>
      </x:c>
      <x:c r="U231" s="11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1" s="11" t="str">
        <x:v>基础工具；本题新增几何/属性与真值均待独立核验；材料截面代号须在本题附录定值。</x:v>
      </x:c>
      <x:c r="W231" s="11" t="str">
        <x:v>规划，待编题与验证</x:v>
      </x:c>
      <x:c r="X231" s="11" t="str">
        <x:v>OpenSees（按本题杆系与自由度建模的主选；现有工具链仍须逐题验证）。</x:v>
      </x:c>
      <x:c r="Y231" s="18" t="str">
        <x:v>OpenSees</x:v>
      </x:c>
      <x:c r="Z231" s="11" t="str">
        <x:v>无竖杆交错节点Warren桁架以真实杆端连接、轴力与节点位移为主，规划OpenSees纯轴力单元；上下节点错开半节间，不能把不存在的竖杆补上。</x:v>
      </x:c>
      <x:c r="AA231" s="11" t="str">
        <x:v>上下节点错列且无竖杆，轴力单元端点不得自动吸附到同列；执行后按原题完整输出：x=5m上弦Uz、最左斜杆轴力；附与数值一致的模型/结果图。本轮仅规划，不运行。</x:v>
      </x:c>
      <x:c r="AB231" s="11" t="str">
        <x:v>待逐题验证</x:v>
      </x:c>
      <x:c r="AC231" s="11" t="str">
        <x:v>尚未确认本题可通过；接口/求解/读回预检重点：上下节点错列且无竖杆，轴力单元端点不得自动吸附到同列。特殊单元、轴向、边界及组合均不因OpenSees原生支持而视作已接通。</x:v>
      </x:c>
      <x:c r="AD231" s="11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六上节点各向下8kN；未指定组合时仅算题定基本荷载，指定组合逐组执行，不能用软件默认包络替换。</x:v>
      </x:c>
      <x:c r="AE231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1" s="11" t="str">
        <x:v>OPS；COMMON</x:v>
      </x:c>
    </x:row>
    <x:row r="232" ht="108" customHeight="1">
      <x:c r="A232" s="15" t="str">
        <x:v>MM-031</x:v>
      </x:c>
      <x:c r="B232" s="6" t="str">
        <x:v>多模态逆向建模</x:v>
      </x:c>
      <x:c r="C232" s="19" t="str">
        <x:v>M-MM-031</x:v>
      </x:c>
      <x:c r="D232" s="6" t="str">
        <x:v>双斜腹杆平行弦屋架：工程标注图</x:v>
      </x:c>
      <x:c r="E232" s="6" t="str">
        <x:v>桁架</x:v>
      </x:c>
      <x:c r="F232" s="19" t="str">
        <x:v>2D</x:v>
      </x:c>
      <x:c r="G232" s="6" t="str">
        <x:v>工程标注图</x:v>
      </x:c>
      <x:c r="H232" s="19" t="str">
        <x:v>L3</x:v>
      </x:c>
      <x:c r="I232" s="6" t="str">
        <x:v>交叉不连接与弦腹杆分组需从图例和截面表联合恢复。</x:v>
      </x:c>
      <x:c r="J232" s="19" t="str">
        <x:v>中文</x:v>
      </x:c>
      <x:c r="K232" s="6" t="str">
        <x:v>新工程PNG的总图/局部详图给本题几何、连接、支承和荷载位置；图中构件索引关联完整属性表，正文不重述拓扑。所有新附件待制作、盲审与验证。</x:v>
      </x:c>
      <x:c r="L232" s="23" t="n">
        <x:v>1</x:v>
      </x:c>
      <x:c r="M232" s="6" t="str">
        <x:v>几何：上下弦节点x=0至18m每3m一个，下弦z=0、上弦z=3m；上下弦相邻连接，七竖杆，每格两根X斜杆且交叉不连接；边界：左右下端铰滚；荷载：内部五上节点各向下12kN；属性：轴力杆，弦杆A1、腹杆A2，同一M1。（本栏是编题规格，实际用户输入按图/表分工呈现。）</x:v>
      </x:c>
      <x:c r="N232" s="6" t="str">
        <x:v>交叉不连接与弦腹杆分组需从图例和截面表联合恢复。</x:v>
      </x:c>
      <x:c r="O232" s="6" t="str">
        <x:v>跨中上弦Uz、第一格两根斜杆轴力；附与数值一致的模型/结果图。</x:v>
      </x:c>
      <x:c r="P232" s="6" t="str">
        <x:v>模型核对：交替单斜杆改为每格双斜杆，形成不同冗余度和截面分组。；数值/表述核对：跨中上弦Uz、第一格两根斜杆轴力，位置、方向、单位须一致。</x:v>
      </x:c>
      <x:c r="Q232" s="19" t="str">
        <x:v>新增</x:v>
      </x:c>
      <x:c r="R232" s="6" t="str">
        <x:v>无</x:v>
      </x:c>
      <x:c r="S232" s="6" t="str">
        <x:v>无</x:v>
      </x:c>
      <x:c r="T232" s="6" t="str">
        <x:v>独立模型相对原场景的变化：交替单斜杆改为每格双斜杆，形成不同冗余度和截面分组。旧附件须按本模型重绘，旧数值仅作对照。基础来源：truss-roof-en。</x:v>
      </x:c>
      <x:c r="U232" s="6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2" s="6" t="str">
        <x:v>基础工具；本题新增几何/属性与真值均待独立核验；材料截面代号须在本题附录定值。</x:v>
      </x:c>
      <x:c r="W232" s="6" t="str">
        <x:v>规划，待编题与验证</x:v>
      </x:c>
      <x:c r="X232" s="6" t="str">
        <x:v>OpenSees（按本题杆系与自由度建模的主选；现有工具链仍须逐题验证）。</x:v>
      </x:c>
      <x:c r="Y232" s="19" t="str">
        <x:v>OpenSees</x:v>
      </x:c>
      <x:c r="Z232" s="6" t="str">
        <x:v>双斜腹杆平行弦屋架以真实杆端连接、轴力与节点位移为主，规划OpenSees纯轴力单元；交叉不连接与弦腹杆分组需从图例和截面表联合恢复。</x:v>
      </x:c>
      <x:c r="AA232" s="6" t="str">
        <x:v>X交叉不建连接点；弦杆与腹杆截面分别赋值，核对两斜杆轴力；执行后按原题完整输出：跨中上弦Uz、第一格两根斜杆轴力；附与数值一致的模型/结果图。本轮仅规划，不运行。</x:v>
      </x:c>
      <x:c r="AB232" s="6" t="str">
        <x:v>待逐题验证</x:v>
      </x:c>
      <x:c r="AC232" s="6" t="str">
        <x:v>尚未确认本题可通过；接口/求解/读回预检重点：X交叉不建连接点；弦杆与腹杆截面分别赋值，核对两斜杆轴力。特殊单元、轴向、边界及组合均不因OpenSees原生支持而视作已接通。</x:v>
      </x:c>
      <x:c r="AD232" s="6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内部五上节点各向下12kN；未指定组合时仅算题定基本荷载，指定组合逐组执行，不能用软件默认包络替换。</x:v>
      </x:c>
      <x:c r="AE232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2" s="6" t="str">
        <x:v>OPS；COMMON</x:v>
      </x:c>
    </x:row>
    <x:row r="233" ht="108" customHeight="1">
      <x:c r="A233" s="14" t="str">
        <x:v>MM-032</x:v>
      </x:c>
      <x:c r="B233" s="11" t="str">
        <x:v>多模态逆向建模</x:v>
      </x:c>
      <x:c r="C233" s="18" t="str">
        <x:v>M-MM-032</x:v>
      </x:c>
      <x:c r="D233" s="11" t="str">
        <x:v>偏置屋脊桁架缺尺寸补图：缺失/质量澄清</x:v>
      </x:c>
      <x:c r="E233" s="11" t="str">
        <x:v>桁架</x:v>
      </x:c>
      <x:c r="F233" s="18" t="str">
        <x:v>2D</x:v>
      </x:c>
      <x:c r="G233" s="11" t="str">
        <x:v>缺失/质量澄清</x:v>
      </x:c>
      <x:c r="H233" s="18" t="str">
        <x:v>L3</x:v>
      </x:c>
      <x:c r="I233" s="11" t="str">
        <x:v>先由竖杆和尺寸链推导屋脊横坐标，再澄清唯一缺失屋脊高度；不按像素比例补猜。</x:v>
      </x:c>
      <x:c r="J233" s="18" t="str">
        <x:v>英文</x:v>
      </x:c>
      <x:c r="K233" s="11" t="str">
        <x:v>第1轮裁剪图删除所有屋面高度、坡度及能反推高度的坐标；下弦尺寸链与竖杆可用于正确推导屋脊x=6m。第2轮补图给屋脊高2.5m及完整上弦标高。材料截面与其余求解设置完整另附。所有新附件待制作、盲审与验证。</x:v>
      </x:c>
      <x:c r="L233" s="22" t="n">
        <x:v>2</x:v>
      </x:c>
      <x:c r="M233" s="11" t="str">
        <x:v>几何：下弦x=0、3、6、9、12、15m且z=0；上部节点(3,1.25)、(6,2.5)、(9,5/3)、(12,5/6)m；上下轮廓顺次连接，四竖杆及下弦x=3至上x=6、下6至上9、下9至上12三斜杆；边界：左右下端铰滚；荷载：四上部节点各向下10kN；属性：轴力杆M1/A1。（本栏是编题规格，实际用户输入按图/表分工呈现。）</x:v>
      </x:c>
      <x:c r="N233" s="11" t="str">
        <x:v>先由竖杆和尺寸链推导屋脊横坐标，再澄清唯一缺失屋脊高度；不按像素比例补猜。</x:v>
      </x:c>
      <x:c r="O233" s="11" t="str">
        <x:v>补图后屋脊Uz、屋脊左腹杆轴力；附与数值一致的模型/结果图。</x:v>
      </x:c>
      <x:c r="P233" s="11" t="str">
        <x:v>模型核对：居中顶点改为偏置屋脊，重布上轮廓和腹杆连接。；数值/表述核对：补图后屋脊Uz、屋脊左腹杆轴力，位置、方向、单位须一致。首轮另查澄清是否针对指定缺项；允许有证据的正确推导。</x:v>
      </x:c>
      <x:c r="Q233" s="18" t="str">
        <x:v>新增</x:v>
      </x:c>
      <x:c r="R233" s="11" t="str">
        <x:v>无</x:v>
      </x:c>
      <x:c r="S233" s="11" t="str">
        <x:v>无</x:v>
      </x:c>
      <x:c r="T233" s="11" t="str">
        <x:v>独立模型相对原场景的变化：居中顶点改为偏置屋脊，重布上轮廓和腹杆连接。旧附件须按本模型重绘，旧数值仅作对照。基础来源：std-truss-tri-en。</x:v>
      </x:c>
      <x:c r="U233" s="11" t="str">
        <x:v>独立建立并复核OpenSees参考模型，固定版本/求解设置及观测位置；以独立线性刚度解、节点力平衡和整体平衡交叉核对。不把展示层插值或图像读数直接当数值真值。首轮缺项/冲突仍只评价澄清；信息补齐后才执行最终模型并比对同一引擎参考。</x:v>
      </x:c>
      <x:c r="V233" s="11" t="str">
        <x:v>基础工具；本题新增几何/属性与真值均待独立核验；材料截面代号须在本题附录定值。</x:v>
      </x:c>
      <x:c r="W233" s="11" t="str">
        <x:v>规划，待编题与验证</x:v>
      </x:c>
      <x:c r="X233" s="11" t="str">
        <x:v>OpenSees（按本题杆系与自由度建模的主选；现有工具链仍须逐题验证）。</x:v>
      </x:c>
      <x:c r="Y233" s="18" t="str">
        <x:v>OpenSees</x:v>
      </x:c>
      <x:c r="Z233" s="11" t="str">
        <x:v>偏置屋脊桁架缺尺寸补图以真实杆端连接、轴力与节点位移为主，规划OpenSees纯轴力单元；先由竖杆和尺寸链推导屋脊横坐标，再澄清唯一缺失屋脊高度；不按像素比例补猜。</x:v>
      </x:c>
      <x:c r="AA233" s="11" t="str">
        <x:v>先用允许证据推导横坐标并补清高度，再按完整杆表执行；执行后按原题完整输出：补图后屋脊Uz、屋脊左腹杆轴力；附与数值一致的模型/结果图。本轮仅规划，不运行。</x:v>
      </x:c>
      <x:c r="AB233" s="11" t="str">
        <x:v>待逐题验证</x:v>
      </x:c>
      <x:c r="AC233" s="11" t="str">
        <x:v>尚未确认本题可通过；接口/求解/读回预检重点：先用允许证据推导横坐标并补清高度，再按完整杆表执行。特殊单元、轴向、边界及组合均不因OpenSees原生支持而视作已接通。</x:v>
      </x:c>
      <x:c r="AD233" s="11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四上部节点各向下10kN；未指定组合时仅算题定基本荷载，指定组合逐组执行，不能用软件默认包络替换。</x:v>
      </x:c>
      <x:c r="AE23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3" s="11" t="str">
        <x:v>OPS；COMMON</x:v>
      </x:c>
    </x:row>
    <x:row r="234" ht="108" customHeight="1">
      <x:c r="A234" s="15" t="str">
        <x:v>MM-033</x:v>
      </x:c>
      <x:c r="B234" s="6" t="str">
        <x:v>多模态逆向建模</x:v>
      </x:c>
      <x:c r="C234" s="19" t="str">
        <x:v>M-MM-033</x:v>
      </x:c>
      <x:c r="D234" s="6" t="str">
        <x:v>阶梯上弦平行底桁架：结构DXF</x:v>
      </x:c>
      <x:c r="E234" s="6" t="str">
        <x:v>桁架</x:v>
      </x:c>
      <x:c r="F234" s="19" t="str">
        <x:v>2D</x:v>
      </x:c>
      <x:c r="G234" s="6" t="str">
        <x:v>结构DXF</x:v>
      </x:c>
      <x:c r="H234" s="19" t="str">
        <x:v>L3</x:v>
      </x:c>
      <x:c r="I234" s="6" t="str">
        <x:v>上弦阶梯节点标高不同，DXF共线合并不能越过折点。</x:v>
      </x:c>
      <x:c r="J234" s="19" t="str">
        <x:v>中文</x:v>
      </x:c>
      <x:c r="K234" s="6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34" s="23" t="n">
        <x:v>1</x:v>
      </x:c>
      <x:c r="M234" s="6" t="str">
        <x:v>几何：上下弦x=0、3、6、9、12、15m，下弦z=0，上弦z=2、2、3、3、2、2m；弦杆顺接，六竖杆，每格下左至上右斜杆；边界：左右下端铰滚；荷载：下弦x=3、6、9、12m各向下10kN；属性：轴力杆M1/A1。（本栏是编题规格，实际用户输入按图/表分工呈现。）</x:v>
      </x:c>
      <x:c r="N234" s="6" t="str">
        <x:v>上弦阶梯节点标高不同，DXF共线合并不能越过折点。</x:v>
      </x:c>
      <x:c r="O234" s="6" t="str">
        <x:v>x=6m下弦Uz、中间水平上弦轴力；附与数值一致的模型/结果图。</x:v>
      </x:c>
      <x:c r="P234" s="6" t="str">
        <x:v>模型核对：等高平行弦改为阶梯上弦，改变构件角度和力流。；数值/表述核对：x=6m下弦Uz、中间水平上弦轴力，位置、方向、单位须一致。</x:v>
      </x:c>
      <x:c r="Q234" s="19" t="str">
        <x:v>旧题改编</x:v>
      </x:c>
      <x:c r="R234" s="6" t="str">
        <x:v>re-dxf-truss-simple-tri</x:v>
      </x:c>
      <x:c r="S234" s="6" t="str">
        <x:v>无</x:v>
      </x:c>
      <x:c r="T234" s="6" t="str">
        <x:v>独立模型相对原场景的变化：等高平行弦改为阶梯上弦，改变构件角度和力流。旧附件须按本模型重绘，旧数值仅作对照。基础来源：re-dxf-truss-simple-tri。多模态机制来源：re-dxf-truss-simple-tri。</x:v>
      </x:c>
      <x:c r="U234" s="6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4" s="6" t="str">
        <x:v>基础工具；本题新增几何/属性与真值均待独立核验；材料截面代号须在本题附录定值。</x:v>
      </x:c>
      <x:c r="W234" s="6" t="str">
        <x:v>规划，待编题与验证</x:v>
      </x:c>
      <x:c r="X234" s="6" t="str">
        <x:v>OpenSees（按本题杆系与自由度建模的主选；现有工具链仍须逐题验证）。</x:v>
      </x:c>
      <x:c r="Y234" s="19" t="str">
        <x:v>OpenSees</x:v>
      </x:c>
      <x:c r="Z234" s="6" t="str">
        <x:v>阶梯上弦平行底桁架以真实杆端连接、轴力与节点位移为主，规划OpenSees纯轴力单元；上弦阶梯节点标高不同，DXF共线合并不能越过折点。</x:v>
      </x:c>
      <x:c r="AA234" s="6" t="str">
        <x:v>上弦折点不得被DXF共线合并，核对三米高水平段轴力；执行后按原题完整输出：x=6m下弦Uz、中间水平上弦轴力；附与数值一致的模型/结果图。本轮仅规划，不运行。</x:v>
      </x:c>
      <x:c r="AB234" s="6" t="str">
        <x:v>待逐题验证</x:v>
      </x:c>
      <x:c r="AC234" s="6" t="str">
        <x:v>尚未确认本题可通过；接口/求解/读回预检重点：上弦折点不得被DXF共线合并，核对三米高水平段轴力。特殊单元、轴向、边界及组合均不因OpenSees原生支持而视作已接通。</x:v>
      </x:c>
      <x:c r="AD234" s="6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下弦x=3、6、9、12m各向下10kN；未指定组合时仅算题定基本荷载，指定组合逐组执行，不能用软件默认包络替换。</x:v>
      </x:c>
      <x:c r="AE23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4" s="6" t="str">
        <x:v>OPS；COMMON</x:v>
      </x:c>
    </x:row>
    <x:row r="235" ht="108" customHeight="1">
      <x:c r="A235" s="14" t="str">
        <x:v>MM-034</x:v>
      </x:c>
      <x:c r="B235" s="11" t="str">
        <x:v>多模态逆向建模</x:v>
      </x:c>
      <x:c r="C235" s="18" t="str">
        <x:v>M-MM-034</x:v>
      </x:c>
      <x:c r="D235" s="11" t="str">
        <x:v>中心汇交腹杆三角屋架：力学简图</x:v>
      </x:c>
      <x:c r="E235" s="11" t="str">
        <x:v>桁架</x:v>
      </x:c>
      <x:c r="F235" s="18" t="str">
        <x:v>2D</x:v>
      </x:c>
      <x:c r="G235" s="11" t="str">
        <x:v>力学简图</x:v>
      </x:c>
      <x:c r="H235" s="18" t="str">
        <x:v>L2</x:v>
      </x:c>
      <x:c r="I235" s="11" t="str">
        <x:v>总图给三角轮廓，两根长斜腹杆同接屋脊而不接跨内交点。</x:v>
      </x:c>
      <x:c r="J235" s="18" t="str">
        <x:v>英文</x:v>
      </x:c>
      <x:c r="K235" s="11" t="str">
        <x:v>新PNG独占本题几何尺寸、连接、支座与荷载图示；附录只给完整材料/截面及求解设置，不转写图内几何。所有新附件待制作、盲审与验证。</x:v>
      </x:c>
      <x:c r="L235" s="22" t="n">
        <x:v>1</x:v>
      </x:c>
      <x:c r="M235" s="11" t="str">
        <x:v>几何：下弦x=0、4、8、12、16m且z=0，上部节点(4,2)、(8,4)、(12,2)m；上下轮廓顺次连接，三竖杆，另连下弦x=4与x=12到屋脊两斜杆；边界：下端铰滚；荷载：三个上节点各向下12kN；属性：轴力杆M1/A1。（本栏是编题规格，实际用户输入按图/表分工呈现。）</x:v>
      </x:c>
      <x:c r="N235" s="11" t="str">
        <x:v>总图给三角轮廓，两根长斜腹杆同接屋脊而不接跨内交点。</x:v>
      </x:c>
      <x:c r="O235" s="11" t="str">
        <x:v>屋脊Uz、两根长斜腹杆轴力；附与数值一致的模型/结果图。</x:v>
      </x:c>
      <x:c r="P235" s="11" t="str">
        <x:v>模型核对：平行弦Howe类杆系改为三角屋架及中心汇交腹杆。；数值/表述核对：屋脊Uz、两根长斜腹杆轴力，位置、方向、单位须一致。</x:v>
      </x:c>
      <x:c r="Q235" s="18" t="str">
        <x:v>新增</x:v>
      </x:c>
      <x:c r="R235" s="11" t="str">
        <x:v>无</x:v>
      </x:c>
      <x:c r="S235" s="11" t="str">
        <x:v>无</x:v>
      </x:c>
      <x:c r="T235" s="11" t="str">
        <x:v>独立模型相对原场景的变化：平行弦Howe类杆系改为三角屋架及中心汇交腹杆。旧附件须按本模型重绘，旧数值仅作对照。</x:v>
      </x:c>
      <x:c r="U235" s="11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5" s="11" t="str">
        <x:v>基础工具；本题新增几何/属性与真值均待独立核验；材料截面代号须在本题附录定值。</x:v>
      </x:c>
      <x:c r="W235" s="11" t="str">
        <x:v>规划，待编题与验证</x:v>
      </x:c>
      <x:c r="X235" s="11" t="str">
        <x:v>OpenSees（按本题杆系与自由度建模的主选；现有工具链仍须逐题验证）。</x:v>
      </x:c>
      <x:c r="Y235" s="18" t="str">
        <x:v>OpenSees</x:v>
      </x:c>
      <x:c r="Z235" s="11" t="str">
        <x:v>中心汇交腹杆三角屋架以真实杆端连接、轴力与节点位移为主，规划OpenSees纯轴力单元；总图给三角轮廓，两根长斜腹杆同接屋脊而不接跨内交点。</x:v>
      </x:c>
      <x:c r="AA235" s="11" t="str">
        <x:v>两根长腹杆只接屋脊及指定下弦点，不因投影相交加节点；执行后按原题完整输出：屋脊Uz、两根长斜腹杆轴力；附与数值一致的模型/结果图。本轮仅规划，不运行。</x:v>
      </x:c>
      <x:c r="AB235" s="11" t="str">
        <x:v>待逐题验证</x:v>
      </x:c>
      <x:c r="AC235" s="11" t="str">
        <x:v>尚未确认本题可通过；接口/求解/读回预检重点：两根长腹杆只接屋脊及指定下弦点，不因投影相交加节点。特殊单元、轴向、边界及组合均不因OpenSees原生支持而视作已接通。</x:v>
      </x:c>
      <x:c r="AD235" s="11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三个上节点各向下12kN；未指定组合时仅算题定基本荷载，指定组合逐组执行，不能用软件默认包络替换。</x:v>
      </x:c>
      <x:c r="AE23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5" s="11" t="str">
        <x:v>OPS；COMMON</x:v>
      </x:c>
    </x:row>
    <x:row r="236" ht="108" customHeight="1">
      <x:c r="A236" s="15" t="str">
        <x:v>MM-035</x:v>
      </x:c>
      <x:c r="B236" s="6" t="str">
        <x:v>多模态逆向建模</x:v>
      </x:c>
      <x:c r="C236" s="19" t="str">
        <x:v>M-MM-035</x:v>
      </x:c>
      <x:c r="D236" s="6" t="str">
        <x:v>高低支承K形腹杆桁架：工程标注图</x:v>
      </x:c>
      <x:c r="E236" s="6" t="str">
        <x:v>桁架</x:v>
      </x:c>
      <x:c r="F236" s="19" t="str">
        <x:v>2D</x:v>
      </x:c>
      <x:c r="G236" s="6" t="str">
        <x:v>工程标注图</x:v>
      </x:c>
      <x:c r="H236" s="19" t="str">
        <x:v>L3</x:v>
      </x:c>
      <x:c r="I236" s="6" t="str">
        <x:v>支承不在同一弦杆标高，K节点又需由详图恢复。</x:v>
      </x:c>
      <x:c r="J236" s="19" t="str">
        <x:v>中文</x:v>
      </x:c>
      <x:c r="K236" s="6" t="str">
        <x:v>新工程PNG的总图/局部详图给本题几何、连接、支承和荷载位置；图中构件索引关联完整属性表，正文不重述拓扑。所有新附件待制作、盲审与验证。</x:v>
      </x:c>
      <x:c r="L236" s="23" t="n">
        <x:v>1</x:v>
      </x:c>
      <x:c r="M236" s="6" t="str">
        <x:v>几何：18m跨度、3m高、六等节间K腹杆桁架；竖杆中点为连接节点，K形端点由逐杆表完整规定；边界：左端下弦铰支、右端上弦竖向滚支，其余节点无支座；荷载：上弦x=3、6、9m各向下12kN；属性：弦杆A1、腹杆A2，同一M1。（本栏是编题规格，实际用户输入按图/表分工呈现。）</x:v>
      </x:c>
      <x:c r="N236" s="6" t="str">
        <x:v>支承不在同一弦杆标高，K节点又需由详图恢复。</x:v>
      </x:c>
      <x:c r="O236" s="6" t="str">
        <x:v>x=9m上弦Uz、右支座竖向反力；附与数值一致的模型/结果图。</x:v>
      </x:c>
      <x:c r="P236" s="6" t="str">
        <x:v>模型核对：右端支承从下弦移到上弦，受力边界与传力路径改变。；数值/表述核对：x=9m上弦Uz、右支座竖向反力，位置、方向、单位须一致。</x:v>
      </x:c>
      <x:c r="Q236" s="19" t="str">
        <x:v>新增</x:v>
      </x:c>
      <x:c r="R236" s="6" t="str">
        <x:v>无</x:v>
      </x:c>
      <x:c r="S236" s="6" t="str">
        <x:v>无</x:v>
      </x:c>
      <x:c r="T236" s="6" t="str">
        <x:v>独立模型相对原场景的变化：右端支承从下弦移到上弦，受力边界与传力路径改变。旧附件须按本模型重绘，旧数值仅作对照。</x:v>
      </x:c>
      <x:c r="U236" s="6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6" s="6" t="str">
        <x:v>机构与连通性需独立验证；本题新增几何/属性与真值均待独立核验；材料截面代号须在本题附录定值。</x:v>
      </x:c>
      <x:c r="W236" s="6" t="str">
        <x:v>规划，待编题与验证</x:v>
      </x:c>
      <x:c r="X236" s="6" t="str">
        <x:v>OpenSees（按本题杆系与自由度建模的主选；现有工具链仍须逐题验证）。</x:v>
      </x:c>
      <x:c r="Y236" s="19" t="str">
        <x:v>OpenSees</x:v>
      </x:c>
      <x:c r="Z236" s="6" t="str">
        <x:v>高低支承K形腹杆桁架以真实杆端连接、轴力与节点位移为主，规划OpenSees纯轴力单元；支承不在同一弦杆标高，K节点又需由详图恢复。</x:v>
      </x:c>
      <x:c r="AA236" s="6" t="str">
        <x:v>先固定完整K腹杆端点表并验机构，右端支承落在上弦而非下弦；执行后按原题完整输出：x=9m上弦Uz、右支座竖向反力；附与数值一致的模型/结果图。本轮仅规划，不运行。</x:v>
      </x:c>
      <x:c r="AB236" s="6" t="str">
        <x:v>待逐题验证</x:v>
      </x:c>
      <x:c r="AC236" s="6" t="str">
        <x:v>尚未确认本题可通过；接口/求解/读回预检重点：先固定完整K腹杆端点表并验机构，右端支承落在上弦而非下弦。特殊单元、轴向、边界及组合均不因OpenSees原生支持而视作已接通。</x:v>
      </x:c>
      <x:c r="AD236" s="6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上弦x=3、6、9m各向下12kN；未指定组合时仅算题定基本荷载，指定组合逐组执行，不能用软件默认包络替换。</x:v>
      </x:c>
      <x:c r="AE23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6" s="6" t="str">
        <x:v>OPS；COMMON</x:v>
      </x:c>
    </x:row>
    <x:row r="237" ht="108" customHeight="1">
      <x:c r="A237" s="14" t="str">
        <x:v>MM-036</x:v>
      </x:c>
      <x:c r="B237" s="11" t="str">
        <x:v>多模态逆向建模</x:v>
      </x:c>
      <x:c r="C237" s="18" t="str">
        <x:v>M-MM-036</x:v>
      </x:c>
      <x:c r="D237" s="11" t="str">
        <x:v>交叉中心相连的X腹杆桁架：结构DXF</x:v>
      </x:c>
      <x:c r="E237" s="11" t="str">
        <x:v>桁架</x:v>
      </x:c>
      <x:c r="F237" s="18" t="str">
        <x:v>2D</x:v>
      </x:c>
      <x:c r="G237" s="11" t="str">
        <x:v>结构DXF</x:v>
      </x:c>
      <x:c r="H237" s="18" t="str">
        <x:v>L3</x:v>
      </x:c>
      <x:c r="I237" s="11" t="str">
        <x:v>实心中心节点决定四段连通，不能套用跨越不连接语义。</x:v>
      </x:c>
      <x:c r="J237" s="18" t="str">
        <x:v>英文</x:v>
      </x:c>
      <x:c r="K237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37" s="22" t="n">
        <x:v>1</x:v>
      </x:c>
      <x:c r="M237" s="11" t="str">
        <x:v>几何：跨度12m、高2.5m、四等节间，上下弦顺接、五竖杆；每格中心设节点，X腹杆分为四段连接该中心；边界：左右下端铰滚；荷载：三个内部上节点各向下10kN；属性：弦杆A1、竖杆及斜杆A2，同一M1。（本栏是编题规格，实际用户输入按图/表分工呈现。）</x:v>
      </x:c>
      <x:c r="N237" s="11" t="str">
        <x:v>实心中心节点决定四段连通，不能套用跨越不连接语义。</x:v>
      </x:c>
      <x:c r="O237" s="11" t="str">
        <x:v>跨中上弦Uz、第一格中心四杆轴力平衡；附与数值一致的模型/结果图。</x:v>
      </x:c>
      <x:c r="P237" s="11" t="str">
        <x:v>模型核对：原X交叉不连接改为每格中心相连并切分斜杆，节点和杆数均改变。；数值/表述核对：跨中上弦Uz、第一格中心四杆轴力平衡，位置、方向、单位须一致。</x:v>
      </x:c>
      <x:c r="Q237" s="18" t="str">
        <x:v>新增</x:v>
      </x:c>
      <x:c r="R237" s="11" t="str">
        <x:v>无</x:v>
      </x:c>
      <x:c r="S237" s="11" t="str">
        <x:v>无</x:v>
      </x:c>
      <x:c r="T237" s="11" t="str">
        <x:v>独立模型相对原场景的变化：原X交叉不连接改为每格中心相连并切分斜杆，节点和杆数均改变。旧附件须按本模型重绘，旧数值仅作对照。</x:v>
      </x:c>
      <x:c r="U237" s="11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7" s="11" t="str">
        <x:v>基础工具；本题新增几何/属性与真值均待独立核验；材料截面代号须在本题附录定值。</x:v>
      </x:c>
      <x:c r="W237" s="11" t="str">
        <x:v>规划，待编题与验证</x:v>
      </x:c>
      <x:c r="X237" s="11" t="str">
        <x:v>OpenSees（按本题杆系与自由度建模的主选；现有工具链仍须逐题验证）。</x:v>
      </x:c>
      <x:c r="Y237" s="18" t="str">
        <x:v>OpenSees</x:v>
      </x:c>
      <x:c r="Z237" s="11" t="str">
        <x:v>交叉中心相连的X腹杆桁架以真实杆端连接、轴力与节点位移为主，规划OpenSees纯轴力单元；实心中心节点决定四段连通，不能套用跨越不连接语义。</x:v>
      </x:c>
      <x:c r="AA237" s="11" t="str">
        <x:v>每格中心必须分割四根腹杆并共节点，验证中心节点力平衡；执行后按原题完整输出：跨中上弦Uz、第一格中心四杆轴力平衡；附与数值一致的模型/结果图。本轮仅规划，不运行。</x:v>
      </x:c>
      <x:c r="AB237" s="11" t="str">
        <x:v>待逐题验证</x:v>
      </x:c>
      <x:c r="AC237" s="11" t="str">
        <x:v>尚未确认本题可通过；接口/求解/读回预检重点：每格中心必须分割四根腹杆并共节点，验证中心节点力平衡。特殊单元、轴向、边界及组合均不因OpenSees原生支持而视作已接通。</x:v>
      </x:c>
      <x:c r="AD237" s="11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三个内部上节点各向下10kN；未指定组合时仅算题定基本荷载，指定组合逐组执行，不能用软件默认包络替换。</x:v>
      </x:c>
      <x:c r="AE23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7" s="11" t="str">
        <x:v>OPS；COMMON</x:v>
      </x:c>
    </x:row>
    <x:row r="238" ht="108" customHeight="1">
      <x:c r="A238" s="15" t="str">
        <x:v>MM-037</x:v>
      </x:c>
      <x:c r="B238" s="6" t="str">
        <x:v>多模态逆向建模</x:v>
      </x:c>
      <x:c r="C238" s="19" t="str">
        <x:v>M-MM-037</x:v>
      </x:c>
      <x:c r="D238" s="6" t="str">
        <x:v>不等节间无竖杆桁架：图表联合</x:v>
      </x:c>
      <x:c r="E238" s="6" t="str">
        <x:v>桁架</x:v>
      </x:c>
      <x:c r="F238" s="19" t="str">
        <x:v>2D</x:v>
      </x:c>
      <x:c r="G238" s="6" t="str">
        <x:v>图表联合</x:v>
      </x:c>
      <x:c r="H238" s="19" t="str">
        <x:v>L2</x:v>
      </x:c>
      <x:c r="I238" s="6" t="str">
        <x:v>不等节间与错列上节点要由尺寸链和标签共同恢复。</x:v>
      </x:c>
      <x:c r="J238" s="19" t="str">
        <x:v>中文</x:v>
      </x:c>
      <x:c r="K238" s="6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38" s="23" t="n">
        <x:v>1</x:v>
      </x:c>
      <x:c r="M238" s="6" t="str">
        <x:v>几何：下弦x=0、2、5、9、12m且z=0；上弦(1,2.2)、(3.5,2.2)、(7,2.2)、(10.5,2.2)m；两弦顺接，每上节点连其两侧下节点，无竖杆；边界：下端铰滚；荷载：上节点依次向下8、12、10、6kN；属性：轴力杆M1/A1。（本栏是编题规格，实际用户输入按图/表分工呈现。）</x:v>
      </x:c>
      <x:c r="N238" s="6" t="str">
        <x:v>不等节间与错列上节点要由尺寸链和标签共同恢复。</x:v>
      </x:c>
      <x:c r="O238" s="6" t="str">
        <x:v>x=7m上弦Uz、最右斜杆轴力；附与数值一致的模型/结果图。</x:v>
      </x:c>
      <x:c r="P238" s="6" t="str">
        <x:v>模型核对：同列上下弦加竖杆改为错列无竖杆拓扑，加载节点随之改变。；数值/表述核对：x=7m上弦Uz、最右斜杆轴力，位置、方向、单位须一致。</x:v>
      </x:c>
      <x:c r="Q238" s="19" t="str">
        <x:v>新增</x:v>
      </x:c>
      <x:c r="R238" s="6" t="str">
        <x:v>无</x:v>
      </x:c>
      <x:c r="S238" s="6" t="str">
        <x:v>无</x:v>
      </x:c>
      <x:c r="T238" s="6" t="str">
        <x:v>独立模型相对原场景的变化：同列上下弦加竖杆改为错列无竖杆拓扑，加载节点随之改变。旧附件须按本模型重绘，旧数值仅作对照。</x:v>
      </x:c>
      <x:c r="U238" s="6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8" s="6" t="str">
        <x:v>基础工具；本题新增几何/属性与真值均待独立核验；材料截面代号须在本题附录定值。</x:v>
      </x:c>
      <x:c r="W238" s="6" t="str">
        <x:v>规划，待编题与验证</x:v>
      </x:c>
      <x:c r="X238" s="6" t="str">
        <x:v>OpenSees（按本题杆系与自由度建模的主选；现有工具链仍须逐题验证）。</x:v>
      </x:c>
      <x:c r="Y238" s="19" t="str">
        <x:v>OpenSees</x:v>
      </x:c>
      <x:c r="Z238" s="6" t="str">
        <x:v>不等节间无竖杆桁架以真实杆端连接、轴力与节点位移为主，规划OpenSees纯轴力单元；不等节间与错列上节点要由尺寸链和标签共同恢复。</x:v>
      </x:c>
      <x:c r="AA238" s="6" t="str">
        <x:v>按不等节间恢复错列节点，荷载按节点标签而非表格行序施加；执行后按原题完整输出：x=7m上弦Uz、最右斜杆轴力；附与数值一致的模型/结果图。本轮仅规划，不运行。</x:v>
      </x:c>
      <x:c r="AB238" s="6" t="str">
        <x:v>待逐题验证</x:v>
      </x:c>
      <x:c r="AC238" s="6" t="str">
        <x:v>尚未确认本题可通过；接口/求解/读回预检重点：按不等节间恢复错列节点，荷载按节点标签而非表格行序施加。特殊单元、轴向、边界及组合均不因OpenSees原生支持而视作已接通。</x:v>
      </x:c>
      <x:c r="AD238" s="6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上节点依次向下8、12、10、6kN；未指定组合时仅算题定基本荷载，指定组合逐组执行，不能用软件默认包络替换。</x:v>
      </x:c>
      <x:c r="AE23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8" s="6" t="str">
        <x:v>OPS；COMMON</x:v>
      </x:c>
    </x:row>
    <x:row r="239" ht="108" customHeight="1">
      <x:c r="A239" s="14" t="str">
        <x:v>MM-038</x:v>
      </x:c>
      <x:c r="B239" s="11" t="str">
        <x:v>多模态逆向建模</x:v>
      </x:c>
      <x:c r="C239" s="18" t="str">
        <x:v>M-MM-038</x:v>
      </x:c>
      <x:c r="D239" s="11" t="str">
        <x:v>整体倾斜的平行弦桁架：结构DXF</x:v>
      </x:c>
      <x:c r="E239" s="11" t="str">
        <x:v>桁架</x:v>
      </x:c>
      <x:c r="F239" s="18" t="str">
        <x:v>2D</x:v>
      </x:c>
      <x:c r="G239" s="11" t="str">
        <x:v>结构DXF</x:v>
      </x:c>
      <x:c r="H239" s="18" t="str">
        <x:v>L3</x:v>
      </x:c>
      <x:c r="I239" s="11" t="str">
        <x:v>下弦也倾斜，支承高差与全局竖向荷载不可被图像校正抹平。</x:v>
      </x:c>
      <x:c r="J239" s="18" t="str">
        <x:v>英文</x:v>
      </x:c>
      <x:c r="K239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39" s="22" t="n">
        <x:v>1</x:v>
      </x:c>
      <x:c r="M239" s="11" t="str">
        <x:v>几何：两弦x=0、3、6、9、12、15m；下弦z=0、0.3、0.6、0.9、1.2、1.5m，上弦各高2m；弦杆顺接、六竖杆、各格下左至上右斜杆；边界：左右下端铰滚；荷载：上弦x=6、9、12m全局向下20、15、10kN；属性：轴力杆M1/A1。（本栏是编题规格，实际用户输入按图/表分工呈现。）</x:v>
      </x:c>
      <x:c r="N239" s="11" t="str">
        <x:v>下弦也倾斜，支承高差与全局竖向荷载不可被图像校正抹平。</x:v>
      </x:c>
      <x:c r="O239" s="11" t="str">
        <x:v>右侧加载点Uz、左支座水平反力；附与数值一致的模型/结果图。</x:v>
      </x:c>
      <x:c r="P239" s="11" t="str">
        <x:v>模型核对：水平下弦单坡上弦改为两弦共同倾斜，改变支承高度和全部杆方向。；数值/表述核对：右侧加载点Uz、左支座水平反力，位置、方向、单位须一致。</x:v>
      </x:c>
      <x:c r="Q239" s="18" t="str">
        <x:v>新增</x:v>
      </x:c>
      <x:c r="R239" s="11" t="str">
        <x:v>无</x:v>
      </x:c>
      <x:c r="S239" s="11" t="str">
        <x:v>无</x:v>
      </x:c>
      <x:c r="T239" s="11" t="str">
        <x:v>独立模型相对原场景的变化：水平下弦单坡上弦改为两弦共同倾斜，改变支承高度和全部杆方向。旧附件须按本模型重绘，旧数值仅作对照。</x:v>
      </x:c>
      <x:c r="U239" s="11" t="str">
        <x:v>独立建立并复核OpenSees参考模型，固定版本/求解设置及观测位置；以独立线性刚度解、节点力平衡和整体平衡交叉核对。不把展示层插值或图像读数直接当数值真值。</x:v>
      </x:c>
      <x:c r="V239" s="11" t="str">
        <x:v>机构与连通性需独立验证；本题新增几何/属性与真值均待独立核验；材料截面代号须在本题附录定值。斜杆全局荷载和局部轴适配待验证。</x:v>
      </x:c>
      <x:c r="W239" s="11" t="str">
        <x:v>规划，待编题与验证</x:v>
      </x:c>
      <x:c r="X239" s="11" t="str">
        <x:v>OpenSees（按本题杆系与自由度建模的主选；现有工具链仍须逐题验证）。</x:v>
      </x:c>
      <x:c r="Y239" s="18" t="str">
        <x:v>OpenSees</x:v>
      </x:c>
      <x:c r="Z239" s="11" t="str">
        <x:v>整体倾斜的平行弦桁架以真实杆端连接、轴力与节点位移为主，规划OpenSees纯轴力单元；下弦也倾斜，支承高差与全局竖向荷载不可被图像校正抹平。</x:v>
      </x:c>
      <x:c r="AA239" s="11" t="str">
        <x:v>使用真实倾斜弦杆坐标；全局竖向力不随杆轴旋转；执行后按原题完整输出：右侧加载点Uz、左支座水平反力；附与数值一致的模型/结果图。本轮仅规划，不运行。</x:v>
      </x:c>
      <x:c r="AB239" s="11" t="str">
        <x:v>待逐题验证</x:v>
      </x:c>
      <x:c r="AC239" s="11" t="str">
        <x:v>尚未确认本题可通过；接口/求解/读回预检重点：使用真实倾斜弦杆坐标；全局竖向力不随杆轴旋转。特殊单元、轴向、边界及组合均不因OpenSees原生支持而视作已接通。</x:v>
      </x:c>
      <x:c r="AD239" s="11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上弦x=6、9、12m全局向下20、15、10kN；未指定组合时仅算题定基本荷载，指定组合逐组执行，不能用软件默认包络替换。</x:v>
      </x:c>
      <x:c r="AE23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39" s="11" t="str">
        <x:v>OPS；COMMON</x:v>
      </x:c>
    </x:row>
    <x:row r="240" ht="108" customHeight="1">
      <x:c r="A240" s="15" t="str">
        <x:v>MM-039</x:v>
      </x:c>
      <x:c r="B240" s="6" t="str">
        <x:v>多模态逆向建模</x:v>
      </x:c>
      <x:c r="C240" s="19" t="str">
        <x:v>M-MM-039</x:v>
      </x:c>
      <x:c r="D240" s="6" t="str">
        <x:v>三道弦杆双层腹杆桁架：图表联合</x:v>
      </x:c>
      <x:c r="E240" s="6" t="str">
        <x:v>桁架</x:v>
      </x:c>
      <x:c r="F240" s="19" t="str">
        <x:v>2D</x:v>
      </x:c>
      <x:c r="G240" s="6" t="str">
        <x:v>图表联合</x:v>
      </x:c>
      <x:c r="H240" s="19" t="str">
        <x:v>L3</x:v>
      </x:c>
      <x:c r="I240" s="6" t="str">
        <x:v>三道弦杆与两层腹杆容易在投影中混层，四组截面需精确对应。</x:v>
      </x:c>
      <x:c r="J240" s="19" t="str">
        <x:v>中文</x:v>
      </x:c>
      <x:c r="K240" s="6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40" s="23" t="n">
        <x:v>1</x:v>
      </x:c>
      <x:c r="M240" s="6" t="str">
        <x:v>几何：x=0、4、8、12、16、20m，三排节点z=0、1.5、3m；每排相邻连接，同列相邻层连竖杆，每个矩形格加下左至上右斜杆；边界：最下排两端铰滚；荷载：最上排四内部节点各向下12kN；属性：上/中/下弦与腹杆分别A1/A2/A3/A4，材料M1。（本栏是编题规格，实际用户输入按图/表分工呈现。）</x:v>
      </x:c>
      <x:c r="N240" s="6" t="str">
        <x:v>三道弦杆与两层腹杆容易在投影中混层，四组截面需精确对应。</x:v>
      </x:c>
      <x:c r="O240" s="6" t="str">
        <x:v>顶排x=8m节点Uz、中间弦首杆轴力；附与数值一致的模型/结果图。</x:v>
      </x:c>
      <x:c r="P240" s="6" t="str">
        <x:v>模型核对：二道弦杆改为三道弦杆双层腹杆系统，增加独立传力层。；数值/表述核对：顶排x=8m节点Uz、中间弦首杆轴力，位置、方向、单位须一致。</x:v>
      </x:c>
      <x:c r="Q240" s="19" t="str">
        <x:v>新增</x:v>
      </x:c>
      <x:c r="R240" s="6" t="str">
        <x:v>无</x:v>
      </x:c>
      <x:c r="S240" s="6" t="str">
        <x:v>无</x:v>
      </x:c>
      <x:c r="T240" s="6" t="str">
        <x:v>独立模型相对原场景的变化：二道弦杆改为三道弦杆双层腹杆系统，增加独立传力层。旧附件须按本模型重绘，旧数值仅作对照。</x:v>
      </x:c>
      <x:c r="U240" s="6" t="str">
        <x:v>独立建立并复核OpenSees参考模型，固定版本/求解设置及观测位置；以独立线性刚度解、节点力平衡和整体平衡交叉核对。不把展示层插值或图像读数直接当数值真值。</x:v>
      </x:c>
      <x:c r="V240" s="6" t="str">
        <x:v>基础工具；本题新增几何/属性与真值均待独立核验；材料截面代号须在本题附录定值。</x:v>
      </x:c>
      <x:c r="W240" s="6" t="str">
        <x:v>规划，待编题与验证</x:v>
      </x:c>
      <x:c r="X240" s="6" t="str">
        <x:v>OpenSees（按本题杆系与自由度建模的主选；现有工具链仍须逐题验证）。</x:v>
      </x:c>
      <x:c r="Y240" s="19" t="str">
        <x:v>OpenSees</x:v>
      </x:c>
      <x:c r="Z240" s="6" t="str">
        <x:v>三道弦杆双层腹杆桁架以真实杆端连接、轴力与节点位移为主，规划OpenSees纯轴力单元；三道弦杆与两层腹杆容易在投影中混层，四组截面需精确对应。</x:v>
      </x:c>
      <x:c r="AA240" s="6" t="str">
        <x:v>三排弦杆按四组截面建轴力模型，核对中弦与腹杆连接；执行后按原题完整输出：顶排x=8m节点Uz、中间弦首杆轴力；附与数值一致的模型/结果图。本轮仅规划，不运行。</x:v>
      </x:c>
      <x:c r="AB240" s="6" t="str">
        <x:v>待逐题验证</x:v>
      </x:c>
      <x:c r="AC240" s="6" t="str">
        <x:v>尚未确认本题可通过；接口/求解/读回预检重点：三排弦杆按四组截面建轴力模型，核对中弦与腹杆连接。特殊单元、轴向、边界及组合均不因OpenSees原生支持而视作已接通。</x:v>
      </x:c>
      <x:c r="AD240" s="6" t="str">
        <x:v>一阶线弹性；自重OFF并保存配置；按附录实际E/A/I/J，不套默认刚度折减；无默认刚性楼板。全局Z向上，核对XZ到求解器平面的映射及Ry符号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最上排四内部节点各向下12kN；未指定组合时仅算题定基本荷载，指定组合逐组执行，不能用软件默认包络替换。</x:v>
      </x:c>
      <x:c r="AE240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0" s="6" t="str">
        <x:v>OPS；COMMON</x:v>
      </x:c>
    </x:row>
    <x:row r="241" ht="108" customHeight="1">
      <x:c r="A241" s="14" t="str">
        <x:v>MM-040</x:v>
      </x:c>
      <x:c r="B241" s="11" t="str">
        <x:v>多模态逆向建模</x:v>
      </x:c>
      <x:c r="C241" s="18" t="str">
        <x:v>M-MM-040</x:v>
      </x:c>
      <x:c r="D241" s="11" t="str">
        <x:v>中心方锥空间杆系：多视图重建</x:v>
      </x:c>
      <x:c r="E241" s="11" t="str">
        <x:v>桁架</x:v>
      </x:c>
      <x:c r="F241" s="18" t="str">
        <x:v>3D</x:v>
      </x:c>
      <x:c r="G241" s="11" t="str">
        <x:v>多视图重建</x:v>
      </x:c>
      <x:c r="H241" s="18" t="str">
        <x:v>L2</x:v>
      </x:c>
      <x:c r="I241" s="11" t="str">
        <x:v>小规模方锥可由平面和立面完整确定，三向约束显式给出。</x:v>
      </x:c>
      <x:c r="J241" s="18" t="str">
        <x:v>英文</x:v>
      </x:c>
      <x:c r="K241" s="11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41" s="22" t="n">
        <x:v>1</x:v>
      </x:c>
      <x:c r="M241" s="11" t="str">
        <x:v>几何：底面四角(0,0,0)、(4,0,0)、(4,4,0)、(0,4,0)m及顶点(2,2,3)m，四底边杆加四斜杆；边界：四底节点均约束三向平移；荷载：顶点Z向-30kN；属性：全部为空间轴力杆M1/A1。（本栏是编题规格，实际用户输入按图/表分工呈现。）</x:v>
      </x:c>
      <x:c r="N241" s="11" t="str">
        <x:v>小规模方锥可由平面和立面完整确定，三向约束显式给出。</x:v>
      </x:c>
      <x:c r="O241" s="11" t="str">
        <x:v>顶点Uz、两相邻斜杆轴力；附与数值一致的模型/结果图。</x:v>
      </x:c>
      <x:c r="P241" s="11" t="str">
        <x:v>模型核对：四面体六杆改为五节点八杆方锥，并改为四底节点约束。；数值/表述核对：顶点Uz、两相邻斜杆轴力，位置、方向、单位须一致。</x:v>
      </x:c>
      <x:c r="Q241" s="18" t="str">
        <x:v>新增</x:v>
      </x:c>
      <x:c r="R241" s="11" t="str">
        <x:v>无</x:v>
      </x:c>
      <x:c r="S241" s="11" t="str">
        <x:v>无</x:v>
      </x:c>
      <x:c r="T241" s="11" t="str">
        <x:v>独立模型相对原场景的变化：四面体六杆改为五节点八杆方锥，并改为四底节点约束。旧附件须按本模型重绘，旧数值仅作对照。</x:v>
      </x:c>
      <x:c r="U241" s="11" t="str">
        <x:v>独立建立并复核OpenSees参考模型，固定版本/求解设置及观测位置；以独立线性刚度解、节点力平衡和整体平衡交叉核对。不把展示层插值或图像读数直接当数值真值。</x:v>
      </x:c>
      <x:c r="V241" s="11" t="str">
        <x:v>空间桁架及独立真值需验证；本题新增几何/属性与真值均待独立核验；材料截面代号须在本题附录定值。</x:v>
      </x:c>
      <x:c r="W241" s="11" t="str">
        <x:v>规划，待编题与验证</x:v>
      </x:c>
      <x:c r="X241" s="11" t="str">
        <x:v>OpenSees（按本题杆系与自由度建模的主选；现有工具链仍须逐题验证）。</x:v>
      </x:c>
      <x:c r="Y241" s="18" t="str">
        <x:v>OpenSees</x:v>
      </x:c>
      <x:c r="Z241" s="11" t="str">
        <x:v>中心方锥空间杆系以真实杆端连接、轴力与节点位移为主，规划OpenSees纯轴力单元；小规模方锥可由平面和立面完整确定，三向约束显式给出。</x:v>
      </x:c>
      <x:c r="AA241" s="11" t="str">
        <x:v>三维轴力杆只用平移自由度；四底点约束一致，顶点自由；执行后按原题完整输出：顶点Uz、两相邻斜杆轴力；附与数值一致的模型/结果图。本轮仅规划，不运行。</x:v>
      </x:c>
      <x:c r="AB241" s="11" t="str">
        <x:v>待逐题验证</x:v>
      </x:c>
      <x:c r="AC241" s="11" t="str">
        <x:v>尚未确认本题可通过；接口/求解/读回预检重点：三维轴力杆只用平移自由度；四底点约束一致，顶点自由。特殊单元、轴向、边界及组合均不因OpenSees原生支持而视作已接通。</x:v>
      </x:c>
      <x:c r="AD241" s="11" t="str">
        <x:v>一阶线弹性；自重OFF并保存配置；按附录实际E/A/I/J，不套默认刚度折减；无默认刚性楼板。采用题定右手全局Z向上，核对构件局部轴与结果分量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顶点Z向-30kN；未指定组合时仅算题定基本荷载，指定组合逐组执行，不能用软件默认包络替换。</x:v>
      </x:c>
      <x:c r="AE241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1" s="11" t="str">
        <x:v>OPS；COMMON</x:v>
      </x:c>
    </x:row>
    <x:row r="242" ht="108" customHeight="1">
      <x:c r="A242" s="15" t="str">
        <x:v>MM-041</x:v>
      </x:c>
      <x:c r="B242" s="6" t="str">
        <x:v>多模态逆向建模</x:v>
      </x:c>
      <x:c r="C242" s="19" t="str">
        <x:v>M-MM-041</x:v>
      </x:c>
      <x:c r="D242" s="6" t="str">
        <x:v>上下双锥空间杆系：多视图重建</x:v>
      </x:c>
      <x:c r="E242" s="6" t="str">
        <x:v>桁架</x:v>
      </x:c>
      <x:c r="F242" s="19" t="str">
        <x:v>3D</x:v>
      </x:c>
      <x:c r="G242" s="6" t="str">
        <x:v>多视图重建</x:v>
      </x:c>
      <x:c r="H242" s="19" t="str">
        <x:v>L3</x:v>
      </x:c>
      <x:c r="I242" s="6" t="str">
        <x:v>上下顶点在多视图中投影不同，跨过底平面的连接杆无额外节点。</x:v>
      </x:c>
      <x:c r="J242" s="19" t="str">
        <x:v>中文</x:v>
      </x:c>
      <x:c r="K242" s="6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42" s="23" t="n">
        <x:v>1</x:v>
      </x:c>
      <x:c r="M242" s="6" t="str">
        <x:v>几何：底平面四角为6m方形，z=0；上顶点(4,2,3)m、下顶点(3,3,-2)m；四底边杆、上下顶点分别连四角，另连上下顶点；边界：四底角三向平移固定；荷载：上顶点Fx=10、Fz=-30kN，下顶点Fy=8、Fz=-20kN；属性：轴力杆M1/A1。（本栏是编题规格，实际用户输入按图/表分工呈现。）</x:v>
      </x:c>
      <x:c r="N242" s="6" t="str">
        <x:v>上下顶点在多视图中投影不同，跨过底平面的连接杆无额外节点。</x:v>
      </x:c>
      <x:c r="O242" s="6" t="str">
        <x:v>上下顶点Ux/Uy/Uz、顶点连杆轴力；附与数值一致的模型/结果图。</x:v>
      </x:c>
      <x:c r="P242" s="6" t="str">
        <x:v>模型核对：单方锥增加下锥及上下顶点连杆，形成双顶点三维传力。；数值/表述核对：上下顶点Ux/Uy/Uz、顶点连杆轴力，位置、方向、单位须一致。</x:v>
      </x:c>
      <x:c r="Q242" s="19" t="str">
        <x:v>新增</x:v>
      </x:c>
      <x:c r="R242" s="6" t="str">
        <x:v>无</x:v>
      </x:c>
      <x:c r="S242" s="6" t="str">
        <x:v>无</x:v>
      </x:c>
      <x:c r="T242" s="6" t="str">
        <x:v>独立模型相对原场景的变化：单方锥增加下锥及上下顶点连杆，形成双顶点三维传力。旧附件须按本模型重绘，旧数值仅作对照。</x:v>
      </x:c>
      <x:c r="U242" s="6" t="str">
        <x:v>独立建立并复核OpenSees参考模型，固定版本/求解设置及观测位置；以独立线性刚度解、节点力平衡和整体平衡交叉核对。不把展示层插值或图像读数直接当数值真值。</x:v>
      </x:c>
      <x:c r="V242" s="6" t="str">
        <x:v>空间桁架及独立真值需验证；本题新增几何/属性与真值均待独立核验；材料截面代号须在本题附录定值。</x:v>
      </x:c>
      <x:c r="W242" s="6" t="str">
        <x:v>规划，待编题与验证</x:v>
      </x:c>
      <x:c r="X242" s="6" t="str">
        <x:v>OpenSees（按本题杆系与自由度建模的主选；现有工具链仍须逐题验证）。</x:v>
      </x:c>
      <x:c r="Y242" s="19" t="str">
        <x:v>OpenSees</x:v>
      </x:c>
      <x:c r="Z242" s="6" t="str">
        <x:v>上下双锥空间杆系以真实杆端连接、轴力与节点位移为主，规划OpenSees纯轴力单元；上下顶点在多视图中投影不同，跨过底平面的连接杆无额外节点。</x:v>
      </x:c>
      <x:c r="AA242" s="6" t="str">
        <x:v>上下自由顶点及连接杆都保留，不在底平面穿越点增节点；执行后按原题完整输出：上下顶点Ux/Uy/Uz、顶点连杆轴力；附与数值一致的模型/结果图。本轮仅规划，不运行。</x:v>
      </x:c>
      <x:c r="AB242" s="6" t="str">
        <x:v>待逐题验证</x:v>
      </x:c>
      <x:c r="AC242" s="6" t="str">
        <x:v>尚未确认本题可通过；接口/求解/读回预检重点：上下自由顶点及连接杆都保留，不在底平面穿越点增节点。特殊单元、轴向、边界及组合均不因OpenSees原生支持而视作已接通。</x:v>
      </x:c>
      <x:c r="AD242" s="6" t="str">
        <x:v>一阶线弹性；自重OFF并保存配置；按附录实际E/A/I/J，不套默认刚度折减；无默认刚性楼板。采用题定右手全局Z向上，核对构件局部轴与结果分量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上顶点Fx=10、Fz=-30kN，下顶点Fy=8、Fz=-20kN；未指定组合时仅算题定基本荷载，指定组合逐组执行，不能用软件默认包络替换。</x:v>
      </x:c>
      <x:c r="AE242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2" s="6" t="str">
        <x:v>OPS；COMMON</x:v>
      </x:c>
    </x:row>
    <x:row r="243" ht="108" customHeight="1">
      <x:c r="A243" s="14" t="str">
        <x:v>MM-042</x:v>
      </x:c>
      <x:c r="B243" s="11" t="str">
        <x:v>多模态逆向建模</x:v>
      </x:c>
      <x:c r="C243" s="18" t="str">
        <x:v>M-MM-042</x:v>
      </x:c>
      <x:c r="D243" s="11" t="str">
        <x:v>三层三角柱空间桁架：多视图重建</x:v>
      </x:c>
      <x:c r="E243" s="11" t="str">
        <x:v>桁架</x:v>
      </x:c>
      <x:c r="F243" s="18" t="str">
        <x:v>3D</x:v>
      </x:c>
      <x:c r="G243" s="11" t="str">
        <x:v>多视图重建</x:v>
      </x:c>
      <x:c r="H243" s="18" t="str">
        <x:v>L3</x:v>
      </x:c>
      <x:c r="I243" s="11" t="str">
        <x:v>四层投影节点需按标高区分，三种杆组与不同顶点荷载分别映射。</x:v>
      </x:c>
      <x:c r="J243" s="18" t="str">
        <x:v>英文</x:v>
      </x:c>
      <x:c r="K243" s="11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43" s="22" t="n">
        <x:v>1</x:v>
      </x:c>
      <x:c r="M243" s="11" t="str">
        <x:v>几何：底面为边长4m等边三角形，在z=0、2.5、5、7.5m共四层布置同样三角节点；各层三角环、相邻层对应竖杆，各侧矩形格一根统一方向斜杆；边界：底三节点三向固定；荷载：顶层第1节点Fx=12kN、第2节点Fy=8kN、三顶点均Fz=-10kN；属性：竖杆A1、环杆A2、斜杆A3，材料M1。（本栏是编题规格，实际用户输入按图/表分工呈现。）</x:v>
      </x:c>
      <x:c r="N243" s="11" t="str">
        <x:v>四层投影节点需按标高区分，三种杆组与不同顶点荷载分别映射。</x:v>
      </x:c>
      <x:c r="O243" s="11" t="str">
        <x:v>顶层第1节点Ux、顶层第2节点Uy、底侧斜杆轴力；附与数值一致的模型/结果图。</x:v>
      </x:c>
      <x:c r="P243" s="11" t="str">
        <x:v>模型核对：两层杆系改为三层，并加入杆件分组和分顶点双向侧载。；数值/表述核对：顶层第1节点Ux、顶层第2节点Uy、底侧斜杆轴力，位置、方向、单位须一致。</x:v>
      </x:c>
      <x:c r="Q243" s="18" t="str">
        <x:v>新增</x:v>
      </x:c>
      <x:c r="R243" s="11" t="str">
        <x:v>无</x:v>
      </x:c>
      <x:c r="S243" s="11" t="str">
        <x:v>无</x:v>
      </x:c>
      <x:c r="T243" s="11" t="str">
        <x:v>独立模型相对原场景的变化：两层杆系改为三层，并加入杆件分组和分顶点双向侧载。旧附件须按本模型重绘，旧数值仅作对照。</x:v>
      </x:c>
      <x:c r="U243" s="11" t="str">
        <x:v>独立建立并复核OpenSees参考模型，固定版本/求解设置及观测位置；以独立线性刚度解、节点力平衡和整体平衡交叉核对。不把展示层插值或图像读数直接当数值真值。</x:v>
      </x:c>
      <x:c r="V243" s="11" t="str">
        <x:v>空间桁架及独立真值需验证；本题新增几何/属性与真值均待独立核验；材料截面代号须在本题附录定值。</x:v>
      </x:c>
      <x:c r="W243" s="11" t="str">
        <x:v>规划，待编题与验证</x:v>
      </x:c>
      <x:c r="X243" s="11" t="str">
        <x:v>OpenSees（按本题杆系与自由度建模的主选；现有工具链仍须逐题验证）。</x:v>
      </x:c>
      <x:c r="Y243" s="18" t="str">
        <x:v>OpenSees</x:v>
      </x:c>
      <x:c r="Z243" s="11" t="str">
        <x:v>三层三角柱空间桁架以真实杆端连接、轴力与节点位移为主，规划OpenSees纯轴力单元；四层投影节点需按标高区分，三种杆组与不同顶点荷载分别映射。</x:v>
      </x:c>
      <x:c r="AA243" s="11" t="str">
        <x:v>按四个标高匹配环杆/竖杆/斜杆，顶点X/Y荷载不串层；执行后按原题完整输出：顶层第1节点Ux、顶层第2节点Uy、底侧斜杆轴力；附与数值一致的模型/结果图。本轮仅规划，不运行。</x:v>
      </x:c>
      <x:c r="AB243" s="11" t="str">
        <x:v>待逐题验证</x:v>
      </x:c>
      <x:c r="AC243" s="11" t="str">
        <x:v>尚未确认本题可通过；接口/求解/读回预检重点：按四个标高匹配环杆/竖杆/斜杆，顶点X/Y荷载不串层。特殊单元、轴向、边界及组合均不因OpenSees原生支持而视作已接通。</x:v>
      </x:c>
      <x:c r="AD243" s="11" t="str">
        <x:v>一阶线弹性；自重OFF并保存配置；按附录实际E/A/I/J，不套默认刚度折减；无默认刚性楼板。采用题定右手全局Z向上，核对构件局部轴与结果分量。纯轴力杆不得引入梁的弯曲刚度；非作用自由度按契约处理。题给线载/点力/力矩按原位映射；如作等效节点加载，须保留原始分布荷载并采用与单元插值一致的等效荷载，核验跨内响应及合力/力矩，不用统一楼面载替代。荷载契约：顶层第1节点Fx=12kN、第2节点Fy=8kN、三顶点均Fz=-10kN；未指定组合时仅算题定基本荷载，指定组合逐组执行，不能用软件默认包络替换。</x:v>
      </x:c>
      <x:c r="AE24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3" s="11" t="str">
        <x:v>OPS；COMMON</x:v>
      </x:c>
    </x:row>
    <x:row r="244" ht="94.5" customHeight="1">
      <x:c r="A244" s="15" t="str">
        <x:v>MM-043</x:v>
      </x:c>
      <x:c r="B244" s="6" t="str">
        <x:v>多模态逆向建模</x:v>
      </x:c>
      <x:c r="C244" s="19" t="str">
        <x:v>M-MM-043</x:v>
      </x:c>
      <x:c r="D244" s="6" t="str">
        <x:v>铰固双坡屋面门架：建筑DXF</x:v>
      </x:c>
      <x:c r="E244" s="6" t="str">
        <x:v>门式刚架</x:v>
      </x:c>
      <x:c r="F244" s="19" t="str">
        <x:v>2D</x:v>
      </x:c>
      <x:c r="G244" s="6" t="str">
        <x:v>建筑DXF</x:v>
      </x:c>
      <x:c r="H244" s="19" t="str">
        <x:v>L2</x:v>
      </x:c>
      <x:c r="I244" s="6" t="str">
        <x:v>建筑DXF需剔除围护，并保留双坡与不同柱脚。</x:v>
      </x:c>
      <x:c r="J244" s="19" t="str">
        <x:v>中文</x:v>
      </x:c>
      <x:c r="K244" s="6" t="str">
        <x:v>新建筑DXF通过明确结构层提供本题几何/连接；围护/设备为干扰层；工程附录明确支座、荷载、属性和坐标映射，不把墙线默认成杆件或支座。所有新附件待制作、盲审与验证。</x:v>
      </x:c>
      <x:c r="L244" s="23" t="n">
        <x:v>1</x:v>
      </x:c>
      <x:c r="M244" s="6" t="str">
        <x:v>几何：门架柱脚x=0、18m，檐高7m，屋脊(9,9)m，两坡梁刚接；边界：左柱脚铰、右柱脚固定；荷载：两坡按实际长度全局向下6kN/m；属性：柱C1、坡梁B1，材料M1。（本栏是编题规格，实际用户输入按图/表分工呈现。）</x:v>
      </x:c>
      <x:c r="N244" s="6" t="str">
        <x:v>建筑DXF需剔除围护，并保留双坡与不同柱脚。</x:v>
      </x:c>
      <x:c r="O244" s="6" t="str">
        <x:v>屋脊Uz、右柱脚弯矩；附与数值一致的模型/结果图。</x:v>
      </x:c>
      <x:c r="P244" s="6" t="str">
        <x:v>模型核对：平屋面双固端门架改为双坡屋面及铰固混合边界。；数值/表述核对：屋脊Uz、右柱脚弯矩，位置、方向、单位须一致。</x:v>
      </x:c>
      <x:c r="Q244" s="19" t="str">
        <x:v>旧题改编</x:v>
      </x:c>
      <x:c r="R244" s="6" t="str">
        <x:v>re-arch-portal-simple-18m</x:v>
      </x:c>
      <x:c r="S244" s="6" t="str">
        <x:v>无</x:v>
      </x:c>
      <x:c r="T244" s="6" t="str">
        <x:v>独立模型相对原场景的变化：平屋面双固端门架改为双坡屋面及铰固混合边界。旧附件须按本模型重绘，旧数值仅作对照。基础来源：portal-frame-static-18m。多模态机制来源：re-arch-portal-simple-18m。</x:v>
      </x:c>
      <x:c r="U244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44" s="6" t="str">
        <x:v>基础工具；本题新增几何/属性与真值均待独立核验；材料截面代号须在本题附录定值。斜杆全局荷载和局部轴适配待验证。</x:v>
      </x:c>
      <x:c r="W244" s="6" t="str">
        <x:v>规划，待编题与验证</x:v>
      </x:c>
      <x:c r="X244" s="6" t="str">
        <x:v>OpenSees（按本题杆系与自由度建模的主选；现有工具链仍须逐题验证）。</x:v>
      </x:c>
      <x:c r="Y244" s="19" t="str">
        <x:v>OpenSees</x:v>
      </x:c>
      <x:c r="Z244" s="6" t="str">
        <x:v>铰固双坡屋面门架为平面梁/刚架的直接力学建模与关键响应校核，规划OpenSees按实际杆段和约束组织分析；建筑DXF需剔除围护，并保留双坡与不同柱脚。</x:v>
      </x:c>
      <x:c r="AA244" s="6" t="str">
        <x:v>两坡真实梁与铰/固柱脚同时保留；按实际坡长施全局竖向线载；执行后按原题完整输出：屋脊Uz、右柱脚弯矩；附与数值一致的模型/结果图。本轮仅规划，不运行。</x:v>
      </x:c>
      <x:c r="AB244" s="6" t="str">
        <x:v>待逐题验证</x:v>
      </x:c>
      <x:c r="AC244" s="6" t="str">
        <x:v>尚未确认本题可通过；接口/求解/读回预检重点：两坡真实梁与铰/固柱脚同时保留；按实际坡长施全局竖向线载。特殊单元、轴向、边界及组合均不因OpenSees原生支持而视作已接通。</x:v>
      </x:c>
      <x:c r="AD244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两坡按实际长度全局向下6kN/m；未指定组合时仅算题定基本荷载，指定组合逐组执行，不能用软件默认包络替换。</x:v>
      </x:c>
      <x:c r="AE24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4" s="6" t="str">
        <x:v>OPS；COMMON</x:v>
      </x:c>
    </x:row>
    <x:row r="245" ht="94.5" customHeight="1">
      <x:c r="A245" s="14" t="str">
        <x:v>MM-044</x:v>
      </x:c>
      <x:c r="B245" s="11" t="str">
        <x:v>多模态逆向建模</x:v>
      </x:c>
      <x:c r="C245" s="18" t="str">
        <x:v>M-MM-044</x:v>
      </x:c>
      <x:c r="D245" s="11" t="str">
        <x:v>一跨平顶一跨双坡门架：力学简图</x:v>
      </x:c>
      <x:c r="E245" s="11" t="str">
        <x:v>门式刚架</x:v>
      </x:c>
      <x:c r="F245" s="18" t="str">
        <x:v>2D</x:v>
      </x:c>
      <x:c r="G245" s="11" t="str">
        <x:v>力学简图</x:v>
      </x:c>
      <x:c r="H245" s="18" t="str">
        <x:v>L3</x:v>
      </x:c>
      <x:c r="I245" s="11" t="str">
        <x:v>左右屋面拓扑不同，中柱共同连接平梁与坡梁。</x:v>
      </x:c>
      <x:c r="J245" s="18" t="str">
        <x:v>英文</x:v>
      </x:c>
      <x:c r="K245" s="11" t="str">
        <x:v>新PNG独占本题几何尺寸、连接、支座与荷载图示；附录只给完整材料/截面及求解设置，不转写图内几何。所有新附件待制作、盲审与验证。</x:v>
      </x:c>
      <x:c r="L245" s="22" t="n">
        <x:v>1</x:v>
      </x:c>
      <x:c r="M245" s="11" t="str">
        <x:v>几何：柱线x=0、18、36m，三柱檐高9m；左跨平梁，右跨经屋脊(27,11)m形成双坡；边界：三柱脚固定；荷载：全部屋面梁按实际长度向下6kN/m；属性：柱C1、左梁B1、右坡梁B2，材料M1。（本栏是编题规格，实际用户输入按图/表分工呈现。）</x:v>
      </x:c>
      <x:c r="N245" s="11" t="str">
        <x:v>左右屋面拓扑不同，中柱共同连接平梁与坡梁。</x:v>
      </x:c>
      <x:c r="O245" s="11" t="str">
        <x:v>左跨中点Uz、右屋脊Uz及中柱轴力；附与数值一致的模型/结果图。</x:v>
      </x:c>
      <x:c r="P245" s="11" t="str">
        <x:v>模型核对：双跨平顶改成平顶加双坡混合屋面，并采用两类屋面截面。；数值/表述核对：左跨中点Uz、右屋脊Uz及中柱轴力，位置、方向、单位须一致。</x:v>
      </x:c>
      <x:c r="Q245" s="18" t="str">
        <x:v>旧题改编</x:v>
      </x:c>
      <x:c r="R245" s="11" t="str">
        <x:v>re-portal-complex-ds-mechanics</x:v>
      </x:c>
      <x:c r="S245" s="11" t="str">
        <x:v>无</x:v>
      </x:c>
      <x:c r="T245" s="11" t="str">
        <x:v>独立模型相对原场景的变化：双跨平顶改成平顶加双坡混合屋面，并采用两类屋面截面。旧附件须按本模型重绘，旧数值仅作对照。基础来源：std-portal-double-gt。多模态机制来源：re-portal-complex-ds-mechanics。</x:v>
      </x:c>
      <x:c r="U245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45" s="11" t="str">
        <x:v>基础工具；本题新增几何/属性与真值均待独立核验；材料截面代号须在本题附录定值。斜杆全局荷载和局部轴适配待验证。</x:v>
      </x:c>
      <x:c r="W245" s="11" t="str">
        <x:v>规划，待编题与验证</x:v>
      </x:c>
      <x:c r="X245" s="11" t="str">
        <x:v>OpenSees（按本题杆系与自由度建模的主选；现有工具链仍须逐题验证）。</x:v>
      </x:c>
      <x:c r="Y245" s="18" t="str">
        <x:v>OpenSees</x:v>
      </x:c>
      <x:c r="Z245" s="11" t="str">
        <x:v>一跨平顶一跨双坡门架为平面梁/刚架的直接力学建模与关键响应校核，规划OpenSees按实际杆段和约束组织分析；左右屋面拓扑不同，中柱共同连接平梁与坡梁。</x:v>
      </x:c>
      <x:c r="AA245" s="11" t="str">
        <x:v>左平梁与右双坡刚接到共同中柱，B1/B2分组不能统一；执行后按原题完整输出：左跨中点Uz、右屋脊Uz及中柱轴力；附与数值一致的模型/结果图。本轮仅规划，不运行。</x:v>
      </x:c>
      <x:c r="AB245" s="11" t="str">
        <x:v>待逐题验证</x:v>
      </x:c>
      <x:c r="AC245" s="11" t="str">
        <x:v>尚未确认本题可通过；接口/求解/读回预检重点：左平梁与右双坡刚接到共同中柱，B1/B2分组不能统一。特殊单元、轴向、边界及组合均不因OpenSees原生支持而视作已接通。</x:v>
      </x:c>
      <x:c r="AD245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全部屋面梁按实际长度向下6kN/m；未指定组合时仅算题定基本荷载，指定组合逐组执行，不能用软件默认包络替换。</x:v>
      </x:c>
      <x:c r="AE24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5" s="11" t="str">
        <x:v>OPS；COMMON</x:v>
      </x:c>
    </x:row>
    <x:row r="246" ht="94.5" customHeight="1">
      <x:c r="A246" s="15" t="str">
        <x:v>MM-045</x:v>
      </x:c>
      <x:c r="B246" s="6" t="str">
        <x:v>多模态逆向建模</x:v>
      </x:c>
      <x:c r="C246" s="19" t="str">
        <x:v>M-MM-045</x:v>
      </x:c>
      <x:c r="D246" s="6" t="str">
        <x:v>单坡铰固门架：工程标注图</x:v>
      </x:c>
      <x:c r="E246" s="6" t="str">
        <x:v>门式刚架</x:v>
      </x:c>
      <x:c r="F246" s="19" t="str">
        <x:v>2D</x:v>
      </x:c>
      <x:c r="G246" s="6" t="str">
        <x:v>工程标注图</x:v>
      </x:c>
      <x:c r="H246" s="19" t="str">
        <x:v>L2</x:v>
      </x:c>
      <x:c r="I246" s="6" t="str">
        <x:v>两柱高度不同，斜梁荷载沿全局竖向而非杆件法向。</x:v>
      </x:c>
      <x:c r="J246" s="19" t="str">
        <x:v>中文</x:v>
      </x:c>
      <x:c r="K246" s="6" t="str">
        <x:v>新工程PNG的总图/局部详图给本题几何、连接、支承和荷载位置；图中构件索引关联完整属性表，正文不重述拓扑。所有新附件待制作、盲审与验证。</x:v>
      </x:c>
      <x:c r="L246" s="23" t="n">
        <x:v>1</x:v>
      </x:c>
      <x:c r="M246" s="6" t="str">
        <x:v>几何：两柱相距21m，左柱高6m、右柱高7.5m，斜屋面梁刚接；边界：左柱脚铰、右柱脚固定；荷载：坡梁按实际长度全局向下8kN/m；属性：柱C1、梁B1，材料M1。（本栏是编题规格，实际用户输入按图/表分工呈现。）</x:v>
      </x:c>
      <x:c r="N246" s="6" t="str">
        <x:v>两柱高度不同，斜梁荷载沿全局竖向而非杆件法向。</x:v>
      </x:c>
      <x:c r="O246" s="6" t="str">
        <x:v>屋面几何中点Uz、右柱脚弯矩；附与数值一致的模型/结果图。</x:v>
      </x:c>
      <x:c r="P246" s="6" t="str">
        <x:v>模型核对：平顶双固端改为单坡屋面及铰固混合柱脚。；数值/表述核对：屋面几何中点Uz、右柱脚弯矩，位置、方向、单位须一致。</x:v>
      </x:c>
      <x:c r="Q246" s="19" t="str">
        <x:v>新增</x:v>
      </x:c>
      <x:c r="R246" s="6" t="str">
        <x:v>无</x:v>
      </x:c>
      <x:c r="S246" s="6" t="str">
        <x:v>无</x:v>
      </x:c>
      <x:c r="T246" s="6" t="str">
        <x:v>独立模型相对原场景的变化：平顶双固端改为单坡屋面及铰固混合柱脚。旧附件须按本模型重绘，旧数值仅作对照。基础来源：portal-frame-static-en。</x:v>
      </x:c>
      <x:c r="U246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46" s="6" t="str">
        <x:v>基础工具；本题新增几何/属性与真值均待独立核验；材料截面代号须在本题附录定值。斜杆全局荷载和局部轴适配待验证。</x:v>
      </x:c>
      <x:c r="W246" s="6" t="str">
        <x:v>规划，待编题与验证</x:v>
      </x:c>
      <x:c r="X246" s="6" t="str">
        <x:v>OpenSees（按本题杆系与自由度建模的主选；现有工具链仍须逐题验证）。</x:v>
      </x:c>
      <x:c r="Y246" s="19" t="str">
        <x:v>OpenSees</x:v>
      </x:c>
      <x:c r="Z246" s="6" t="str">
        <x:v>单坡铰固门架为平面梁/刚架的直接力学建模与关键响应校核，规划OpenSees按实际杆段和约束组织分析；两柱高度不同，斜梁荷载沿全局竖向而非杆件法向。</x:v>
      </x:c>
      <x:c r="AA246" s="6" t="str">
        <x:v>柱高不同且左铰右固；斜梁荷载按实际长度与全局方向映射；执行后按原题完整输出：屋面几何中点Uz、右柱脚弯矩；附与数值一致的模型/结果图。本轮仅规划，不运行。</x:v>
      </x:c>
      <x:c r="AB246" s="6" t="str">
        <x:v>待逐题验证</x:v>
      </x:c>
      <x:c r="AC246" s="6" t="str">
        <x:v>尚未确认本题可通过；接口/求解/读回预检重点：柱高不同且左铰右固；斜梁荷载按实际长度与全局方向映射。特殊单元、轴向、边界及组合均不因OpenSees原生支持而视作已接通。</x:v>
      </x:c>
      <x:c r="AD246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坡梁按实际长度全局向下8kN/m；未指定组合时仅算题定基本荷载，指定组合逐组执行，不能用软件默认包络替换。</x:v>
      </x:c>
      <x:c r="AE24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6" s="6" t="str">
        <x:v>OPS；COMMON</x:v>
      </x:c>
    </x:row>
    <x:row r="247" ht="94.5" customHeight="1">
      <x:c r="A247" s="14" t="str">
        <x:v>MM-046</x:v>
      </x:c>
      <x:c r="B247" s="11" t="str">
        <x:v>多模态逆向建模</x:v>
      </x:c>
      <x:c r="C247" s="18" t="str">
        <x:v>M-MM-046</x:v>
      </x:c>
      <x:c r="D247" s="11" t="str">
        <x:v>抬高中柱基础的双跨门架：工程标注图</x:v>
      </x:c>
      <x:c r="E247" s="11" t="str">
        <x:v>门式刚架</x:v>
      </x:c>
      <x:c r="F247" s="18" t="str">
        <x:v>2D</x:v>
      </x:c>
      <x:c r="G247" s="11" t="str">
        <x:v>工程标注图</x:v>
      </x:c>
      <x:c r="H247" s="18" t="str">
        <x:v>L3</x:v>
      </x:c>
      <x:c r="I247" s="11" t="str">
        <x:v>中柱基础标高、荷载标高和屋面标高不可混为一处。</x:v>
      </x:c>
      <x:c r="J247" s="18" t="str">
        <x:v>英文</x:v>
      </x:c>
      <x:c r="K247" s="11" t="str">
        <x:v>新工程PNG的总图/局部详图给本题几何、连接、支承和荷载位置；图中构件索引关联完整属性表，正文不重述拓扑。所有新附件待制作、盲审与验证。</x:v>
      </x:c>
      <x:c r="L247" s="22" t="n">
        <x:v>1</x:v>
      </x:c>
      <x:c r="M247" s="11" t="str">
        <x:v>几何：柱线x=0、18、36m，屋面z=9m；外柱从z=0起，中柱从z=3m起并在z=6m设荷载节点；边界：三个实际柱底固定；荷载：屋面6kN/m向下，中柱z=6m处Fz=-49、Fx=4.9kN；属性：柱C1、梁B1，材料M1。（本栏是编题规格，实际用户输入按图/表分工呈现。）</x:v>
      </x:c>
      <x:c r="N247" s="11" t="str">
        <x:v>中柱基础标高、荷载标高和屋面标高不可混为一处。</x:v>
      </x:c>
      <x:c r="O247" s="11" t="str">
        <x:v>中柱z=6m节点Ux、该柱底弯矩；附与数值一致的模型/结果图。</x:v>
      </x:c>
      <x:c r="P247" s="11" t="str">
        <x:v>模型核对：中柱基础抬高且吊车等效力改在柱中段，几何和作用点同时变化。；数值/表述核对：中柱z=6m节点Ux、该柱底弯矩，位置、方向、单位须一致。</x:v>
      </x:c>
      <x:c r="Q247" s="18" t="str">
        <x:v>新增</x:v>
      </x:c>
      <x:c r="R247" s="11" t="str">
        <x:v>无</x:v>
      </x:c>
      <x:c r="S247" s="11" t="str">
        <x:v>无</x:v>
      </x:c>
      <x:c r="T247" s="11" t="str">
        <x:v>独立模型相对原场景的变化：中柱基础抬高且吊车等效力改在柱中段，几何和作用点同时变化。旧附件须按本模型重绘，旧数值仅作对照。基础来源：portal-frame-double-span-crane-static。</x:v>
      </x:c>
      <x:c r="U247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47" s="11" t="str">
        <x:v>基础工具；本题新增几何/属性与真值均待独立核验；材料截面代号须在本题附录定值。</x:v>
      </x:c>
      <x:c r="W247" s="11" t="str">
        <x:v>规划，待编题与验证</x:v>
      </x:c>
      <x:c r="X247" s="11" t="str">
        <x:v>OpenSees（按本题杆系与自由度建模的主选；现有工具链仍须逐题验证）。</x:v>
      </x:c>
      <x:c r="Y247" s="18" t="str">
        <x:v>OpenSees</x:v>
      </x:c>
      <x:c r="Z247" s="11" t="str">
        <x:v>抬高中柱基础的双跨门架为平面梁/刚架的直接力学建模与关键响应校核，规划OpenSees按实际杆段和约束组织分析；中柱基础标高、荷载标高和屋面标高不可混为一处。</x:v>
      </x:c>
      <x:c r="AA247" s="11" t="str">
        <x:v>中柱固定点在z=3m，集中力在z=6m，必须分开建节点；执行后按原题完整输出：中柱z=6m节点Ux、该柱底弯矩；附与数值一致的模型/结果图。本轮仅规划，不运行。</x:v>
      </x:c>
      <x:c r="AB247" s="11" t="str">
        <x:v>待逐题验证</x:v>
      </x:c>
      <x:c r="AC247" s="11" t="str">
        <x:v>尚未确认本题可通过；接口/求解/读回预检重点：中柱固定点在z=3m，集中力在z=6m，必须分开建节点。特殊单元、轴向、边界及组合均不因OpenSees原生支持而视作已接通。</x:v>
      </x:c>
      <x:c r="AD247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屋面6kN/m向下，中柱z=6m处Fz=-49、Fx=4.9kN；未指定组合时仅算题定基本荷载，指定组合逐组执行，不能用软件默认包络替换。</x:v>
      </x:c>
      <x:c r="AE24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7" s="11" t="str">
        <x:v>OPS；COMMON</x:v>
      </x:c>
    </x:row>
    <x:row r="248" ht="94.5" customHeight="1">
      <x:c r="A248" s="15" t="str">
        <x:v>MM-047</x:v>
      </x:c>
      <x:c r="B248" s="6" t="str">
        <x:v>多模态逆向建模</x:v>
      </x:c>
      <x:c r="C248" s="19" t="str">
        <x:v>M-MM-047</x:v>
      </x:c>
      <x:c r="D248" s="6" t="str">
        <x:v>双侧独立夹层悬挑门架：建筑DXF</x:v>
      </x:c>
      <x:c r="E248" s="6" t="str">
        <x:v>门式刚架</x:v>
      </x:c>
      <x:c r="F248" s="19" t="str">
        <x:v>2D</x:v>
      </x:c>
      <x:c r="G248" s="6" t="str">
        <x:v>建筑DXF</x:v>
      </x:c>
      <x:c r="H248" s="19" t="str">
        <x:v>L3</x:v>
      </x:c>
      <x:c r="I248" s="6" t="str">
        <x:v>两段夹层线不能被建筑背景合并成整层连续梁。</x:v>
      </x:c>
      <x:c r="J248" s="19" t="str">
        <x:v>中文</x:v>
      </x:c>
      <x:c r="K248" s="6" t="str">
        <x:v>新建筑DXF通过明确结构层提供本题几何/连接；围护/设备为干扰层；工程附录明确支座、荷载、属性和坐标映射，不把墙线默认成杆件或支座。所有新附件待制作、盲审与验证。</x:v>
      </x:c>
      <x:c r="L248" s="23" t="n">
        <x:v>1</x:v>
      </x:c>
      <x:c r="M248" s="6" t="str">
        <x:v>几何：18m跨、7m高门架；z=3m左柱向右悬挑6m，右柱向左悬挑6m，两悬挑端相隔6m且不连接；边界：两柱脚固定；荷载：屋面向下6kN/m，左夹层4、右夹层8kN/m；属性：柱C1、屋面B1、夹层B2，材料M1。（本栏是编题规格，实际用户输入按图/表分工呈现。）</x:v>
      </x:c>
      <x:c r="N248" s="6" t="str">
        <x:v>两段夹层线不能被建筑背景合并成整层连续梁。</x:v>
      </x:c>
      <x:c r="O248" s="6" t="str">
        <x:v>两个夹层自由端Uz、右夹层根部弯矩；附与数值一致的模型/结果图。</x:v>
      </x:c>
      <x:c r="P248" s="6" t="str">
        <x:v>模型核对：单侧夹层改为左右两个互不连接的悬挑夹层并不对称加载。；数值/表述核对：两个夹层自由端Uz、右夹层根部弯矩，位置、方向、单位须一致。</x:v>
      </x:c>
      <x:c r="Q248" s="19" t="str">
        <x:v>新增</x:v>
      </x:c>
      <x:c r="R248" s="6" t="str">
        <x:v>无</x:v>
      </x:c>
      <x:c r="S248" s="6" t="str">
        <x:v>无</x:v>
      </x:c>
      <x:c r="T248" s="6" t="str">
        <x:v>独立模型相对原场景的变化：单侧夹层改为左右两个互不连接的悬挑夹层并不对称加载。旧附件须按本模型重绘，旧数值仅作对照。基础来源：portal-frame-with-mezzanine。</x:v>
      </x:c>
      <x:c r="U248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48" s="6" t="str">
        <x:v>基础工具；本题新增几何/属性与真值均待独立核验；材料截面代号须在本题附录定值。</x:v>
      </x:c>
      <x:c r="W248" s="6" t="str">
        <x:v>规划，待编题与验证</x:v>
      </x:c>
      <x:c r="X248" s="6" t="str">
        <x:v>OpenSees（按本题杆系与自由度建模的主选；现有工具链仍须逐题验证）。</x:v>
      </x:c>
      <x:c r="Y248" s="19" t="str">
        <x:v>OpenSees</x:v>
      </x:c>
      <x:c r="Z248" s="6" t="str">
        <x:v>双侧独立夹层悬挑门架为平面梁/刚架的直接力学建模与关键响应校核，规划OpenSees按实际杆段和约束组织分析；两段夹层线不能被建筑背景合并成整层连续梁。</x:v>
      </x:c>
      <x:c r="AA248" s="6" t="str">
        <x:v>左右夹层悬端互不连接；柱中连接点切分，荷载与截面分组保留；执行后按原题完整输出：两个夹层自由端Uz、右夹层根部弯矩；附与数值一致的模型/结果图。本轮仅规划，不运行。</x:v>
      </x:c>
      <x:c r="AB248" s="6" t="str">
        <x:v>待逐题验证</x:v>
      </x:c>
      <x:c r="AC248" s="6" t="str">
        <x:v>尚未确认本题可通过；接口/求解/读回预检重点：左右夹层悬端互不连接；柱中连接点切分，荷载与截面分组保留。特殊单元、轴向、边界及组合均不因OpenSees原生支持而视作已接通。</x:v>
      </x:c>
      <x:c r="AD248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屋面向下6kN/m，左夹层4、右夹层8kN/m；未指定组合时仅算题定基本荷载，指定组合逐组执行，不能用软件默认包络替换。</x:v>
      </x:c>
      <x:c r="AE24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8" s="6" t="str">
        <x:v>OPS；COMMON</x:v>
      </x:c>
    </x:row>
    <x:row r="249" ht="94.5" customHeight="1">
      <x:c r="A249" s="14" t="str">
        <x:v>MM-048</x:v>
      </x:c>
      <x:c r="B249" s="11" t="str">
        <x:v>多模态逆向建模</x:v>
      </x:c>
      <x:c r="C249" s="18" t="str">
        <x:v>M-MM-048</x:v>
      </x:c>
      <x:c r="D249" s="11" t="str">
        <x:v>带屋脊中柱的双坡门架：工程标注图</x:v>
      </x:c>
      <x:c r="E249" s="11" t="str">
        <x:v>门式刚架</x:v>
      </x:c>
      <x:c r="F249" s="18" t="str">
        <x:v>2D</x:v>
      </x:c>
      <x:c r="G249" s="11" t="str">
        <x:v>工程标注图</x:v>
      </x:c>
      <x:c r="H249" s="18" t="str">
        <x:v>L3</x:v>
      </x:c>
      <x:c r="I249" s="11" t="str">
        <x:v>屋脊不是自由顶点，而是第三根柱的连接点。</x:v>
      </x:c>
      <x:c r="J249" s="18" t="str">
        <x:v>英文</x:v>
      </x:c>
      <x:c r="K249" s="11" t="str">
        <x:v>新工程PNG的总图/局部详图给本题几何、连接、支承和荷载位置；图中构件索引关联完整属性表，正文不重述拓扑。所有新附件待制作、盲审与验证。</x:v>
      </x:c>
      <x:c r="L249" s="22" t="n">
        <x:v>1</x:v>
      </x:c>
      <x:c r="M249" s="11" t="str">
        <x:v>几何：柱线x=0、10、20m，外柱檐高6m，中柱到屋脊z=8m；屋面两坡在中柱顶刚接；边界：三柱脚固定；荷载：两坡按实际长度向下6kN/m；属性：外柱C1、中柱C2、坡梁B1，材料M1。（本栏是编题规格，实际用户输入按图/表分工呈现。）</x:v>
      </x:c>
      <x:c r="N249" s="11" t="str">
        <x:v>屋脊不是自由顶点，而是第三根柱的连接点。</x:v>
      </x:c>
      <x:c r="O249" s="11" t="str">
        <x:v>屋脊Uz、中柱轴力与柱底反力；附与数值一致的模型/结果图。</x:v>
      </x:c>
      <x:c r="P249" s="11" t="str">
        <x:v>模型核对：无中柱双坡门架增加屋脊支承柱，改变屋面梁支承体系。；数值/表述核对：屋脊Uz、中柱轴力与柱底反力，位置、方向、单位须一致。</x:v>
      </x:c>
      <x:c r="Q249" s="18" t="str">
        <x:v>新增</x:v>
      </x:c>
      <x:c r="R249" s="11" t="str">
        <x:v>无</x:v>
      </x:c>
      <x:c r="S249" s="11" t="str">
        <x:v>无</x:v>
      </x:c>
      <x:c r="T249" s="11" t="str">
        <x:v>独立模型相对原场景的变化：无中柱双坡门架增加屋脊支承柱，改变屋面梁支承体系。旧附件须按本模型重绘，旧数值仅作对照。</x:v>
      </x:c>
      <x:c r="U249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49" s="11" t="str">
        <x:v>斜杆荷载与局部轴需验证；本题新增几何/属性与真值均待独立核验；材料截面代号须在本题附录定值。斜杆全局荷载和局部轴适配待验证。</x:v>
      </x:c>
      <x:c r="W249" s="11" t="str">
        <x:v>规划，待编题与验证</x:v>
      </x:c>
      <x:c r="X249" s="11" t="str">
        <x:v>OpenSees（按本题杆系与自由度建模的主选；现有工具链仍须逐题验证）。</x:v>
      </x:c>
      <x:c r="Y249" s="18" t="str">
        <x:v>OpenSees</x:v>
      </x:c>
      <x:c r="Z249" s="11" t="str">
        <x:v>带屋脊中柱的双坡门架为平面梁/刚架的直接力学建模与关键响应校核，规划OpenSees按实际杆段和约束组织分析；屋脊不是自由顶点，而是第三根柱的连接点。</x:v>
      </x:c>
      <x:c r="AA249" s="11" t="str">
        <x:v>屋脊与中柱共节点；坡梁到柱的连接不得按无中柱屋架处理；执行后按原题完整输出：屋脊Uz、中柱轴力与柱底反力；附与数值一致的模型/结果图。本轮仅规划，不运行。</x:v>
      </x:c>
      <x:c r="AB249" s="11" t="str">
        <x:v>待逐题验证</x:v>
      </x:c>
      <x:c r="AC249" s="11" t="str">
        <x:v>尚未确认本题可通过；接口/求解/读回预检重点：屋脊与中柱共节点；坡梁到柱的连接不得按无中柱屋架处理。特殊单元、轴向、边界及组合均不因OpenSees原生支持而视作已接通。</x:v>
      </x:c>
      <x:c r="AD249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两坡按实际长度向下6kN/m；未指定组合时仅算题定基本荷载，指定组合逐组执行，不能用软件默认包络替换。</x:v>
      </x:c>
      <x:c r="AE24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49" s="11" t="str">
        <x:v>OPS；COMMON</x:v>
      </x:c>
    </x:row>
    <x:row r="250" ht="94.5" customHeight="1">
      <x:c r="A250" s="15" t="str">
        <x:v>MM-049</x:v>
      </x:c>
      <x:c r="B250" s="6" t="str">
        <x:v>多模态逆向建模</x:v>
      </x:c>
      <x:c r="C250" s="19" t="str">
        <x:v>M-MM-049</x:v>
      </x:c>
      <x:c r="D250" s="6" t="str">
        <x:v>双峰单谷折线屋面门架：多视图重建</x:v>
      </x:c>
      <x:c r="E250" s="6" t="str">
        <x:v>门式刚架</x:v>
      </x:c>
      <x:c r="F250" s="19" t="str">
        <x:v>2D</x:v>
      </x:c>
      <x:c r="G250" s="6" t="str">
        <x:v>多视图重建</x:v>
      </x:c>
      <x:c r="H250" s="19" t="str">
        <x:v>L3</x:v>
      </x:c>
      <x:c r="I250" s="6" t="str">
        <x:v>多折点轮廓不是对称双坡模板，谷点同样是刚接梁节点。</x:v>
      </x:c>
      <x:c r="J250" s="19" t="str">
        <x:v>中文</x:v>
      </x:c>
      <x:c r="K250" s="6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50" s="23" t="n">
        <x:v>1</x:v>
      </x:c>
      <x:c r="M250" s="6" t="str">
        <x:v>几何：外柱x=0、24m且檐高6m；屋面依次经过(0,6)、(6,8)、(14,7)、(18,9)、(24,6)m，全部折点刚接且无中柱；边界：两外柱脚固定；荷载：前两坡段向下5kN/m，后两坡段7kN/m，按实际长度；属性：柱C1、屋面B1，材料M1。（本栏是编题规格，实际用户输入按图/表分工呈现。）</x:v>
      </x:c>
      <x:c r="N250" s="6" t="str">
        <x:v>多折点轮廓不是对称双坡模板，谷点同样是刚接梁节点。</x:v>
      </x:c>
      <x:c r="O250" s="6" t="str">
        <x:v>谷点Uz、右峰Ux/Uz；附与数值一致的模型/结果图。</x:v>
      </x:c>
      <x:c r="P250" s="6" t="str">
        <x:v>模型核对：单峰非对称屋面改为双峰单谷四段折线屋面。；数值/表述核对：谷点Uz、右峰Ux/Uz，位置、方向、单位须一致。</x:v>
      </x:c>
      <x:c r="Q250" s="19" t="str">
        <x:v>新增</x:v>
      </x:c>
      <x:c r="R250" s="6" t="str">
        <x:v>无</x:v>
      </x:c>
      <x:c r="S250" s="6" t="str">
        <x:v>无</x:v>
      </x:c>
      <x:c r="T250" s="6" t="str">
        <x:v>独立模型相对原场景的变化：单峰非对称屋面改为双峰单谷四段折线屋面。旧附件须按本模型重绘，旧数值仅作对照。</x:v>
      </x:c>
      <x:c r="U250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0" s="6" t="str">
        <x:v>斜杆荷载与局部轴需验证；本题新增几何/属性与真值均待独立核验；材料截面代号须在本题附录定值。斜杆全局荷载和局部轴适配待验证。</x:v>
      </x:c>
      <x:c r="W250" s="6" t="str">
        <x:v>规划，待编题与验证</x:v>
      </x:c>
      <x:c r="X250" s="6" t="str">
        <x:v>OpenSees（按本题杆系与自由度建模的主选；现有工具链仍须逐题验证）。</x:v>
      </x:c>
      <x:c r="Y250" s="19" t="str">
        <x:v>OpenSees</x:v>
      </x:c>
      <x:c r="Z250" s="6" t="str">
        <x:v>双峰单谷折线屋面门架为平面梁/刚架的直接力学建模与关键响应校核，规划OpenSees按实际杆段和约束组织分析；多折点轮廓不是对称双坡模板，谷点同样是刚接梁节点。</x:v>
      </x:c>
      <x:c r="AA250" s="6" t="str">
        <x:v>四段折线屋面均刚接；局部轴及按实际长度的竖载逐段检查；执行后按原题完整输出：谷点Uz、右峰Ux/Uz；附与数值一致的模型/结果图。本轮仅规划，不运行。</x:v>
      </x:c>
      <x:c r="AB250" s="6" t="str">
        <x:v>待逐题验证</x:v>
      </x:c>
      <x:c r="AC250" s="6" t="str">
        <x:v>尚未确认本题可通过；接口/求解/读回预检重点：四段折线屋面均刚接；局部轴及按实际长度的竖载逐段检查。特殊单元、轴向、边界及组合均不因OpenSees原生支持而视作已接通。</x:v>
      </x:c>
      <x:c r="AD250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前两坡段向下5kN/m，后两坡段7kN/m，按实际长度；未指定组合时仅算题定基本荷载，指定组合逐组执行，不能用软件默认包络替换。</x:v>
      </x:c>
      <x:c r="AE250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0" s="6" t="str">
        <x:v>OPS；COMMON</x:v>
      </x:c>
    </x:row>
    <x:row r="251" ht="94.5" customHeight="1">
      <x:c r="A251" s="14" t="str">
        <x:v>MM-050</x:v>
      </x:c>
      <x:c r="B251" s="11" t="str">
        <x:v>多模态逆向建模</x:v>
      </x:c>
      <x:c r="C251" s="18" t="str">
        <x:v>M-MM-050</x:v>
      </x:c>
      <x:c r="D251" s="11" t="str">
        <x:v>三跨错高门架：结构DXF</x:v>
      </x:c>
      <x:c r="E251" s="11" t="str">
        <x:v>门式刚架</x:v>
      </x:c>
      <x:c r="F251" s="18" t="str">
        <x:v>2D</x:v>
      </x:c>
      <x:c r="G251" s="11" t="str">
        <x:v>结构DXF</x:v>
      </x:c>
      <x:c r="H251" s="18" t="str">
        <x:v>L3</x:v>
      </x:c>
      <x:c r="I251" s="11" t="str">
        <x:v>四根柱上的不同连接标高需在DXF中保留，不能共线合并。</x:v>
      </x:c>
      <x:c r="J251" s="18" t="str">
        <x:v>英文</x:v>
      </x:c>
      <x:c r="K251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51" s="22" t="n">
        <x:v>1</x:v>
      </x:c>
      <x:c r="M251" s="11" t="str">
        <x:v>几何：柱线x=0、12、30、40m；左跨梁z=6m、中跨梁z=8m、右跨梁z=7m；中间两柱分别设6/8m和7/8m连接节点，端柱达到各自屋面；边界：四柱脚固定；荷载：三屋面依次向下5、7、6kN/m；属性：柱C1、梁B1，材料M1。（本栏是编题规格，实际用户输入按图/表分工呈现。）</x:v>
      </x:c>
      <x:c r="N251" s="11" t="str">
        <x:v>四根柱上的不同连接标高需在DXF中保留，不能共线合并。</x:v>
      </x:c>
      <x:c r="O251" s="11" t="str">
        <x:v>三屋面中点Uz、中间两柱脚弯矩；附与数值一致的模型/结果图。</x:v>
      </x:c>
      <x:c r="P251" s="11" t="str">
        <x:v>模型核对：两跨错高扩为三跨三个屋面标高，新增独立柱段与梁连接。；数值/表述核对：三屋面中点Uz、中间两柱脚弯矩，位置、方向、单位须一致。</x:v>
      </x:c>
      <x:c r="Q251" s="18" t="str">
        <x:v>新增</x:v>
      </x:c>
      <x:c r="R251" s="11" t="str">
        <x:v>无</x:v>
      </x:c>
      <x:c r="S251" s="11" t="str">
        <x:v>无</x:v>
      </x:c>
      <x:c r="T251" s="11" t="str">
        <x:v>独立模型相对原场景的变化：两跨错高扩为三跨三个屋面标高，新增独立柱段与梁连接。旧附件须按本模型重绘，旧数值仅作对照。</x:v>
      </x:c>
      <x:c r="U251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1" s="11" t="str">
        <x:v>基础工具；本题新增几何/属性与真值均待独立核验；材料截面代号须在本题附录定值。</x:v>
      </x:c>
      <x:c r="W251" s="11" t="str">
        <x:v>规划，待编题与验证</x:v>
      </x:c>
      <x:c r="X251" s="11" t="str">
        <x:v>OpenSees（按本题杆系与自由度建模的主选；现有工具链仍须逐题验证）。</x:v>
      </x:c>
      <x:c r="Y251" s="18" t="str">
        <x:v>OpenSees</x:v>
      </x:c>
      <x:c r="Z251" s="11" t="str">
        <x:v>三跨错高门架为平面梁/刚架的直接力学建模与关键响应校核，规划OpenSees按实际杆段和约束组织分析；四根柱上的不同连接标高需在DXF中保留，不能共线合并。</x:v>
      </x:c>
      <x:c r="AA251" s="11" t="str">
        <x:v>共用中柱保留错高连接短段，不把不同标高梁节点合并；执行后按原题完整输出：三屋面中点Uz、中间两柱脚弯矩；附与数值一致的模型/结果图。本轮仅规划，不运行。</x:v>
      </x:c>
      <x:c r="AB251" s="11" t="str">
        <x:v>待逐题验证</x:v>
      </x:c>
      <x:c r="AC251" s="11" t="str">
        <x:v>尚未确认本题可通过；接口/求解/读回预检重点：共用中柱保留错高连接短段，不把不同标高梁节点合并。特殊单元、轴向、边界及组合均不因OpenSees原生支持而视作已接通。</x:v>
      </x:c>
      <x:c r="AD251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三屋面依次向下5、7、6kN/m；未指定组合时仅算题定基本荷载，指定组合逐组执行，不能用软件默认包络替换。</x:v>
      </x:c>
      <x:c r="AE251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1" s="11" t="str">
        <x:v>OPS；COMMON</x:v>
      </x:c>
    </x:row>
    <x:row r="252" ht="108" customHeight="1">
      <x:c r="A252" s="15" t="str">
        <x:v>MM-051</x:v>
      </x:c>
      <x:c r="B252" s="6" t="str">
        <x:v>多模态逆向建模</x:v>
      </x:c>
      <x:c r="C252" s="19" t="str">
        <x:v>M-MM-051</x:v>
      </x:c>
      <x:c r="D252" s="6" t="str">
        <x:v>右檐带外伸的风吸门架：图表联合</x:v>
      </x:c>
      <x:c r="E252" s="6" t="str">
        <x:v>门式刚架</x:v>
      </x:c>
      <x:c r="F252" s="19" t="str">
        <x:v>2D</x:v>
      </x:c>
      <x:c r="G252" s="6" t="str">
        <x:v>图表联合</x:v>
      </x:c>
      <x:c r="H252" s="19" t="str">
        <x:v>L3</x:v>
      </x:c>
      <x:c r="I252" s="6" t="str">
        <x:v>风区仅覆盖越过柱顶的外伸段，和整个右坡不同。</x:v>
      </x:c>
      <x:c r="J252" s="19" t="str">
        <x:v>中文</x:v>
      </x:c>
      <x:c r="K252" s="6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52" s="23" t="n">
        <x:v>1</x:v>
      </x:c>
      <x:c r="M252" s="6" t="str">
        <x:v>几何：18m跨、6m檐高、7.5m屋脊高双坡门架；右坡越过右柱继续同坡度外伸2m至x=20m；边界：两柱脚固定，屋脊刚接；荷载：D全屋面按实际长度向下6kN/m，W仅右侧2m外伸段向上10kN/m；组合D、D+W；属性：柱C1、屋面B1，材料M1。（本栏是编题规格，实际用户输入按图/表分工呈现。）</x:v>
      </x:c>
      <x:c r="N252" s="6" t="str">
        <x:v>风区仅覆盖越过柱顶的外伸段，和整个右坡不同。</x:v>
      </x:c>
      <x:c r="O252" s="6" t="str">
        <x:v>右自由檐端Uz、右柱脚反力的两组合值；附与数值一致的模型/结果图。</x:v>
      </x:c>
      <x:c r="P252" s="6" t="str">
        <x:v>模型核对：新增右檐外伸梁，将上拔工况改为外伸段局部风吸。；数值/表述核对：右自由檐端Uz、右柱脚反力的两组合值，位置、方向、单位须一致。</x:v>
      </x:c>
      <x:c r="Q252" s="19" t="str">
        <x:v>新增</x:v>
      </x:c>
      <x:c r="R252" s="6" t="str">
        <x:v>无</x:v>
      </x:c>
      <x:c r="S252" s="6" t="str">
        <x:v>无</x:v>
      </x:c>
      <x:c r="T252" s="6" t="str">
        <x:v>独立模型相对原场景的变化：新增右檐外伸梁，将上拔工况改为外伸段局部风吸。旧附件须按本模型重绘，旧数值仅作对照。</x:v>
      </x:c>
      <x:c r="U252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2" s="6" t="str">
        <x:v>斜杆荷载与多组合需验证；本题新增几何/属性与真值均待独立核验；材料截面代号须在本题附录定值。斜杆全局荷载和局部轴适配待验证。</x:v>
      </x:c>
      <x:c r="W252" s="6" t="str">
        <x:v>规划，待编题与验证</x:v>
      </x:c>
      <x:c r="X252" s="6" t="str">
        <x:v>OpenSees（按本题杆系与自由度建模的主选；现有工具链仍须逐题验证）。</x:v>
      </x:c>
      <x:c r="Y252" s="19" t="str">
        <x:v>OpenSees</x:v>
      </x:c>
      <x:c r="Z252" s="6" t="str">
        <x:v>右檐带外伸的风吸门架为平面梁/刚架的直接力学建模与关键响应校核，规划OpenSees按实际杆段和约束组织分析；风区仅覆盖越过柱顶的外伸段，和整个右坡不同。</x:v>
      </x:c>
      <x:c r="AA252" s="6" t="str">
        <x:v>右柱外2m仍为真实坡梁；W只作用外伸段，D及D+W分别执行；执行后按原题完整输出：右自由檐端Uz、右柱脚反力的两组合值；附与数值一致的模型/结果图。本轮仅规划，不运行。</x:v>
      </x:c>
      <x:c r="AB252" s="6" t="str">
        <x:v>待逐题验证</x:v>
      </x:c>
      <x:c r="AC252" s="6" t="str">
        <x:v>尚未确认本题可通过；接口/求解/读回预检重点：右柱外2m仍为真实坡梁；W只作用外伸段，D及D+W分别执行。特殊单元、轴向、边界及组合均不因OpenSees原生支持而视作已接通。</x:v>
      </x:c>
      <x:c r="AD252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D全屋面按实际长度向下6kN/m，W仅右侧2m外伸段向上10kN/m；组合D、D+W；未指定组合时仅算题定基本荷载，指定组合逐组执行，不能用软件默认包络替换。</x:v>
      </x:c>
      <x:c r="AE252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2" s="6" t="str">
        <x:v>OPS；COMMON</x:v>
      </x:c>
    </x:row>
    <x:row r="253" ht="94.5" customHeight="1">
      <x:c r="A253" s="14" t="str">
        <x:v>MM-052</x:v>
      </x:c>
      <x:c r="B253" s="11" t="str">
        <x:v>多模态逆向建模</x:v>
      </x:c>
      <x:c r="C253" s="18" t="str">
        <x:v>M-MM-052</x:v>
      </x:c>
      <x:c r="D253" s="11" t="str">
        <x:v>柱梁均分段截面的门架：工程标注图</x:v>
      </x:c>
      <x:c r="E253" s="11" t="str">
        <x:v>门式刚架</x:v>
      </x:c>
      <x:c r="F253" s="18" t="str">
        <x:v>2D</x:v>
      </x:c>
      <x:c r="G253" s="11" t="str">
        <x:v>工程标注图</x:v>
      </x:c>
      <x:c r="H253" s="18" t="str">
        <x:v>L3</x:v>
      </x:c>
      <x:c r="I253" s="11" t="str">
        <x:v>梁与柱均有属性分界，分界不代表支座或内铰。</x:v>
      </x:c>
      <x:c r="J253" s="18" t="str">
        <x:v>英文</x:v>
      </x:c>
      <x:c r="K253" s="11" t="str">
        <x:v>新工程PNG的总图/局部详图给本题几何、连接、支承和荷载位置；图中构件索引关联完整属性表，正文不重述拓扑。所有新附件待制作、盲审与验证。</x:v>
      </x:c>
      <x:c r="L253" s="22" t="n">
        <x:v>1</x:v>
      </x:c>
      <x:c r="M253" s="11" t="str">
        <x:v>几何：22m跨、7m高平顶门架，屋面在x=6、16m分段，两柱在z=3m分段；边界：两柱脚固定，所有分段点刚接；荷载：屋面向下8kN/m，右柱顶Fx=15kN；属性：屋面B1/B2/B1，下柱段C1、上柱段C2，同一M1。（本栏是编题规格，实际用户输入按图/表分工呈现。）</x:v>
      </x:c>
      <x:c r="N253" s="11" t="str">
        <x:v>梁与柱均有属性分界，分界不代表支座或内铰。</x:v>
      </x:c>
      <x:c r="O253" s="11" t="str">
        <x:v>屋面中点Uz、右柱顶Ux；附与数值一致的模型/结果图。</x:v>
      </x:c>
      <x:c r="P253" s="11" t="str">
        <x:v>模型核对：原仅屋面变截面改为柱梁同时分段截面并增加侧向工况分量。；数值/表述核对：屋面中点Uz、右柱顶Ux，位置、方向、单位须一致。</x:v>
      </x:c>
      <x:c r="Q253" s="18" t="str">
        <x:v>新增</x:v>
      </x:c>
      <x:c r="R253" s="11" t="str">
        <x:v>无</x:v>
      </x:c>
      <x:c r="S253" s="11" t="str">
        <x:v>无</x:v>
      </x:c>
      <x:c r="T253" s="11" t="str">
        <x:v>独立模型相对原场景的变化：原仅屋面变截面改为柱梁同时分段截面并增加侧向工况分量。旧附件须按本模型重绘，旧数值仅作对照。</x:v>
      </x:c>
      <x:c r="U253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3" s="11" t="str">
        <x:v>基础工具；本题新增几何/属性与真值均待独立核验；材料截面代号须在本题附录定值。</x:v>
      </x:c>
      <x:c r="W253" s="11" t="str">
        <x:v>规划，待编题与验证</x:v>
      </x:c>
      <x:c r="X253" s="11" t="str">
        <x:v>OpenSees（按本题杆系与自由度建模的主选；现有工具链仍须逐题验证）。</x:v>
      </x:c>
      <x:c r="Y253" s="18" t="str">
        <x:v>OpenSees</x:v>
      </x:c>
      <x:c r="Z253" s="11" t="str">
        <x:v>柱梁均分段截面的门架为平面梁/刚架的直接力学建模与关键响应校核，规划OpenSees按实际杆段和约束组织分析；梁与柱均有属性分界，分界不代表支座或内铰。</x:v>
      </x:c>
      <x:c r="AA253" s="11" t="str">
        <x:v>柱与屋面分段均需共节点，截面切换不产生内铰；执行后按原题完整输出：屋面中点Uz、右柱顶Ux；附与数值一致的模型/结果图。本轮仅规划，不运行。</x:v>
      </x:c>
      <x:c r="AB253" s="11" t="str">
        <x:v>待逐题验证</x:v>
      </x:c>
      <x:c r="AC253" s="11" t="str">
        <x:v>尚未确认本题可通过；接口/求解/读回预检重点：柱与屋面分段均需共节点，截面切换不产生内铰。特殊单元、轴向、边界及组合均不因OpenSees原生支持而视作已接通。</x:v>
      </x:c>
      <x:c r="AD253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屋面向下8kN/m，右柱顶Fx=15kN；未指定组合时仅算题定基本荷载，指定组合逐组执行，不能用软件默认包络替换。</x:v>
      </x:c>
      <x:c r="AE25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3" s="11" t="str">
        <x:v>OPS；COMMON</x:v>
      </x:c>
    </x:row>
    <x:row r="254" ht="94.5" customHeight="1">
      <x:c r="A254" s="15" t="str">
        <x:v>MM-053</x:v>
      </x:c>
      <x:c r="B254" s="6" t="str">
        <x:v>多模态逆向建模</x:v>
      </x:c>
      <x:c r="C254" s="19" t="str">
        <x:v>M-MM-053</x:v>
      </x:c>
      <x:c r="D254" s="6" t="str">
        <x:v>中部横梁约束的铰固门架：力学简图</x:v>
      </x:c>
      <x:c r="E254" s="6" t="str">
        <x:v>门式刚架</x:v>
      </x:c>
      <x:c r="F254" s="19" t="str">
        <x:v>2D</x:v>
      </x:c>
      <x:c r="G254" s="6" t="str">
        <x:v>力学简图</x:v>
      </x:c>
      <x:c r="H254" s="19" t="str">
        <x:v>L3</x:v>
      </x:c>
      <x:c r="I254" s="6" t="str">
        <x:v>中横梁无荷载但参与约束，不能当尺寸辅助线删除。</x:v>
      </x:c>
      <x:c r="J254" s="19" t="str">
        <x:v>中文</x:v>
      </x:c>
      <x:c r="K254" s="6" t="str">
        <x:v>新PNG独占本题几何尺寸、连接、支座与荷载图示；附录只给完整材料/截面及求解设置，不转写图内几何。所有新附件待制作、盲审与验证。</x:v>
      </x:c>
      <x:c r="L254" s="23" t="n">
        <x:v>1</x:v>
      </x:c>
      <x:c r="M254" s="6" t="str">
        <x:v>几何：16m跨、6m高平顶门架，在z=3m增设连接两柱的刚接横梁；边界：左柱脚铰、右柱脚固定；荷载：屋面向下8kN/m，中横梁不加载，右柱顶Fx=12kN；属性：柱C1、屋面B1、中横梁B2，材料M1。（本栏是编题规格，实际用户输入按图/表分工呈现。）</x:v>
      </x:c>
      <x:c r="N254" s="6" t="str">
        <x:v>中横梁无荷载但参与约束，不能当尺寸辅助线删除。</x:v>
      </x:c>
      <x:c r="O254" s="6" t="str">
        <x:v>右柱顶Ux、中横梁左端弯矩；附与数值一致的模型/结果图。</x:v>
      </x:c>
      <x:c r="P254" s="6" t="str">
        <x:v>模型核对：单层门架增加中部刚接横梁，产生新的框架约束和内力路径。；数值/表述核对：右柱顶Ux、中横梁左端弯矩，位置、方向、单位须一致。</x:v>
      </x:c>
      <x:c r="Q254" s="19" t="str">
        <x:v>新增</x:v>
      </x:c>
      <x:c r="R254" s="6" t="str">
        <x:v>无</x:v>
      </x:c>
      <x:c r="S254" s="6" t="str">
        <x:v>无</x:v>
      </x:c>
      <x:c r="T254" s="6" t="str">
        <x:v>独立模型相对原场景的变化：单层门架增加中部刚接横梁，产生新的框架约束和内力路径。旧附件须按本模型重绘，旧数值仅作对照。</x:v>
      </x:c>
      <x:c r="U254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4" s="6" t="str">
        <x:v>基础工具；本题新增几何/属性与真值均待独立核验；材料截面代号须在本题附录定值。</x:v>
      </x:c>
      <x:c r="W254" s="6" t="str">
        <x:v>规划，待编题与验证</x:v>
      </x:c>
      <x:c r="X254" s="6" t="str">
        <x:v>OpenSees（按本题杆系与自由度建模的主选；现有工具链仍须逐题验证）。</x:v>
      </x:c>
      <x:c r="Y254" s="19" t="str">
        <x:v>OpenSees</x:v>
      </x:c>
      <x:c r="Z254" s="6" t="str">
        <x:v>中部横梁约束的铰固门架为平面梁/刚架的直接力学建模与关键响应校核，规划OpenSees按实际杆段和约束组织分析；中横梁无荷载但参与约束，不能当尺寸辅助线删除。</x:v>
      </x:c>
      <x:c r="AA254" s="6" t="str">
        <x:v>无载中横梁参与刚度，不能删除；左铰右固正确约束；执行后按原题完整输出：右柱顶Ux、中横梁左端弯矩；附与数值一致的模型/结果图。本轮仅规划，不运行。</x:v>
      </x:c>
      <x:c r="AB254" s="6" t="str">
        <x:v>待逐题验证</x:v>
      </x:c>
      <x:c r="AC254" s="6" t="str">
        <x:v>尚未确认本题可通过；接口/求解/读回预检重点：无载中横梁参与刚度，不能删除；左铰右固正确约束。特殊单元、轴向、边界及组合均不因OpenSees原生支持而视作已接通。</x:v>
      </x:c>
      <x:c r="AD254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屋面向下8kN/m，中横梁不加载，右柱顶Fx=12kN；未指定组合时仅算题定基本荷载，指定组合逐组执行，不能用软件默认包络替换。</x:v>
      </x:c>
      <x:c r="AE25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4" s="6" t="str">
        <x:v>OPS；COMMON</x:v>
      </x:c>
    </x:row>
    <x:row r="255" ht="108" customHeight="1">
      <x:c r="A255" s="14" t="str">
        <x:v>MM-054</x:v>
      </x:c>
      <x:c r="B255" s="11" t="str">
        <x:v>多模态逆向建模</x:v>
      </x:c>
      <x:c r="C255" s="18" t="str">
        <x:v>M-MM-054</x:v>
      </x:c>
      <x:c r="D255" s="11" t="str">
        <x:v>两端挑檐不等跨门架：图表联合</x:v>
      </x:c>
      <x:c r="E255" s="11" t="str">
        <x:v>门式刚架</x:v>
      </x:c>
      <x:c r="F255" s="18" t="str">
        <x:v>2D</x:v>
      </x:c>
      <x:c r="G255" s="11" t="str">
        <x:v>图表联合</x:v>
      </x:c>
      <x:c r="H255" s="18" t="str">
        <x:v>L3</x:v>
      </x:c>
      <x:c r="I255" s="11" t="str">
        <x:v>结构柱轴线与屋面端点分开，构件角色和两个悬段载荷分别关联。</x:v>
      </x:c>
      <x:c r="J255" s="18" t="str">
        <x:v>英文</x:v>
      </x:c>
      <x:c r="K255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55" s="22" t="n">
        <x:v>1</x:v>
      </x:c>
      <x:c r="M255" s="11" t="str">
        <x:v>几何：柱线x=0、12、27m，柱高7m；屋面梁由x=-2连续到30m，左右各有2m和3m挑檐；边界：三柱脚固定；荷载：D主跨屋面向下6kN/m，L仅两挑檐向下7kN/m，W右柱顶Fx=12kN；组合D+L、D+W；属性：外柱C1、中柱C2、主梁B1、挑檐B2，材料M1。（本栏是编题规格，实际用户输入按图/表分工呈现。）</x:v>
      </x:c>
      <x:c r="N255" s="11" t="str">
        <x:v>结构柱轴线与屋面端点分开，构件角色和两个悬段载荷分别关联。</x:v>
      </x:c>
      <x:c r="O255" s="11" t="str">
        <x:v>左右挑檐端Uz、右柱顶Ux；附与数值一致的模型/结果图。</x:v>
      </x:c>
      <x:c r="P255" s="11" t="str">
        <x:v>模型核对：不等跨门架增加两端独立挑檐和挑檐荷载工况。；数值/表述核对：左右挑檐端Uz、右柱顶Ux，位置、方向、单位须一致。</x:v>
      </x:c>
      <x:c r="Q255" s="18" t="str">
        <x:v>新增</x:v>
      </x:c>
      <x:c r="R255" s="11" t="str">
        <x:v>无</x:v>
      </x:c>
      <x:c r="S255" s="11" t="str">
        <x:v>无</x:v>
      </x:c>
      <x:c r="T255" s="11" t="str">
        <x:v>独立模型相对原场景的变化：不等跨门架增加两端独立挑檐和挑檐荷载工况。旧附件须按本模型重绘，旧数值仅作对照。</x:v>
      </x:c>
      <x:c r="U255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5" s="11" t="str">
        <x:v>多组合执行契约需验证；本题新增几何/属性与真值均待独立核验；材料截面代号须在本题附录定值。</x:v>
      </x:c>
      <x:c r="W255" s="11" t="str">
        <x:v>规划，待编题与验证</x:v>
      </x:c>
      <x:c r="X255" s="11" t="str">
        <x:v>OpenSees（按本题杆系与自由度建模的主选；现有工具链仍须逐题验证）。</x:v>
      </x:c>
      <x:c r="Y255" s="18" t="str">
        <x:v>OpenSees</x:v>
      </x:c>
      <x:c r="Z255" s="11" t="str">
        <x:v>两端挑檐不等跨门架为平面梁/刚架的直接力学建模与关键响应校核，规划OpenSees按实际杆段和约束组织分析；结构柱轴线与屋面端点分开，构件角色和两个悬段载荷分别关联。</x:v>
      </x:c>
      <x:c r="AA255" s="11" t="str">
        <x:v>两挑檐、三类荷载与四组截面均保留；分别执行D+L与D+W；执行后按原题完整输出：左右挑檐端Uz、右柱顶Ux；附与数值一致的模型/结果图。本轮仅规划，不运行。</x:v>
      </x:c>
      <x:c r="AB255" s="11" t="str">
        <x:v>待逐题验证</x:v>
      </x:c>
      <x:c r="AC255" s="11" t="str">
        <x:v>尚未确认本题可通过；接口/求解/读回预检重点：两挑檐、三类荷载与四组截面均保留；分别执行D+L与D+W。特殊单元、轴向、边界及组合均不因OpenSees原生支持而视作已接通。</x:v>
      </x:c>
      <x:c r="AD255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D主跨屋面向下6kN/m，L仅两挑檐向下7kN/m，W右柱顶Fx=12kN；组合D+L、D+W；未指定组合时仅算题定基本荷载，指定组合逐组执行，不能用软件默认包络替换。</x:v>
      </x:c>
      <x:c r="AE25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5" s="11" t="str">
        <x:v>OPS；COMMON</x:v>
      </x:c>
    </x:row>
    <x:row r="256" ht="94.5" customHeight="1">
      <x:c r="A256" s="15" t="str">
        <x:v>MM-055</x:v>
      </x:c>
      <x:c r="B256" s="6" t="str">
        <x:v>多模态逆向建模</x:v>
      </x:c>
      <x:c r="C256" s="19" t="str">
        <x:v>M-MM-055</x:v>
      </x:c>
      <x:c r="D256" s="6" t="str">
        <x:v>上层仅右跨的退台钢框架：工程标注图</x:v>
      </x:c>
      <x:c r="E256" s="6" t="str">
        <x:v>平面钢框架</x:v>
      </x:c>
      <x:c r="F256" s="19" t="str">
        <x:v>2D</x:v>
      </x:c>
      <x:c r="G256" s="6" t="str">
        <x:v>工程标注图</x:v>
      </x:c>
      <x:c r="H256" s="19" t="str">
        <x:v>L3</x:v>
      </x:c>
      <x:c r="I256" s="6" t="str">
        <x:v>上层退台在右侧，不能根据下层网格补齐左上框架。</x:v>
      </x:c>
      <x:c r="J256" s="19" t="str">
        <x:v>中文</x:v>
      </x:c>
      <x:c r="K256" s="6" t="str">
        <x:v>新工程PNG的总图/局部详图给本题几何、连接、支承和荷载位置；图中构件索引关联完整属性表，正文不重述拓扑。所有新附件待制作、盲审与验证。</x:v>
      </x:c>
      <x:c r="L256" s="23" t="n">
        <x:v>1</x:v>
      </x:c>
      <x:c r="M256" s="6" t="str">
        <x:v>几何：下层柱线x=0、6、10m，标高3.6m；上层仅保留x=6、10m两柱及4m跨梁，顶标高7.2m；边界：三底柱脚固定、梁柱刚接；荷载：下层两梁向下60kN/m，上层梁向下48kN/m；属性：钢材M1、柱C1、梁B1。（本栏是编题规格，实际用户输入按图/表分工呈现。）</x:v>
      </x:c>
      <x:c r="N256" s="6" t="str">
        <x:v>上层退台在右侧，不能根据下层网格补齐左上框架。</x:v>
      </x:c>
      <x:c r="O256" s="6" t="str">
        <x:v>上层梁中点Uz、x=6m底柱轴力；附与数值一致的模型/结果图。</x:v>
      </x:c>
      <x:c r="P256" s="6" t="str">
        <x:v>模型核对：两层单跨改为下层两跨、上层右侧单跨，层间拓扑不同。；数值/表述核对：上层梁中点Uz、x=6m底柱轴力，位置、方向、单位须一致。</x:v>
      </x:c>
      <x:c r="Q256" s="19" t="str">
        <x:v>旧题改编</x:v>
      </x:c>
      <x:c r="R256" s="6" t="str">
        <x:v>image-frame-sketch</x:v>
      </x:c>
      <x:c r="S256" s="6" t="str">
        <x:v>无</x:v>
      </x:c>
      <x:c r="T256" s="6" t="str">
        <x:v>独立模型相对原场景的变化：两层单跨改为下层两跨、上层右侧单跨，层间拓扑不同。旧附件须按本模型重绘，旧数值仅作对照。基础来源：frame-2story-1bay-static。多模态机制来源：image-frame-sketch。</x:v>
      </x:c>
      <x:c r="U256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6" s="6" t="str">
        <x:v>基础工具；本题新增几何/属性与真值均待独立核验；材料截面代号须在本题附录定值。</x:v>
      </x:c>
      <x:c r="W256" s="6" t="str">
        <x:v>规划，待编题与验证</x:v>
      </x:c>
      <x:c r="X256" s="6" t="str">
        <x:v>OpenSees（按本题杆系与自由度建模的主选；现有工具链仍须逐题验证）。</x:v>
      </x:c>
      <x:c r="Y256" s="19" t="str">
        <x:v>OpenSees</x:v>
      </x:c>
      <x:c r="Z256" s="6" t="str">
        <x:v>上层仅右跨的退台钢框架为平面梁/刚架的直接力学建模与关键响应校核，规划OpenSees按实际杆段和约束组织分析；上层退台在右侧，不能根据下层网格补齐左上框架。</x:v>
      </x:c>
      <x:c r="AA256" s="6" t="str">
        <x:v>仅右侧上层柱梁存在，下层全网与上层局部网分别建立；执行后按原题完整输出：上层梁中点Uz、x=6m底柱轴力；附与数值一致的模型/结果图。本轮仅规划，不运行。</x:v>
      </x:c>
      <x:c r="AB256" s="6" t="str">
        <x:v>待逐题验证</x:v>
      </x:c>
      <x:c r="AC256" s="6" t="str">
        <x:v>尚未确认本题可通过；接口/求解/读回预检重点：仅右侧上层柱梁存在，下层全网与上层局部网分别建立。特殊单元、轴向、边界及组合均不因OpenSees原生支持而视作已接通。</x:v>
      </x:c>
      <x:c r="AD256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下层两梁向下60kN/m，上层梁向下48kN/m；未指定组合时仅算题定基本荷载，指定组合逐组执行，不能用软件默认包络替换。</x:v>
      </x:c>
      <x:c r="AE25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6" s="6" t="str">
        <x:v>OPS；COMMON</x:v>
      </x:c>
    </x:row>
    <x:row r="257" ht="108" customHeight="1">
      <x:c r="A257" s="14" t="str">
        <x:v>MM-056</x:v>
      </x:c>
      <x:c r="B257" s="11" t="str">
        <x:v>多模态逆向建模</x:v>
      </x:c>
      <x:c r="C257" s="18" t="str">
        <x:v>M-MM-056</x:v>
      </x:c>
      <x:c r="D257" s="11" t="str">
        <x:v>屋面带下挂刚接短柱的工业框架：建筑DXF</x:v>
      </x:c>
      <x:c r="E257" s="11" t="str">
        <x:v>平面钢框架</x:v>
      </x:c>
      <x:c r="F257" s="18" t="str">
        <x:v>2D</x:v>
      </x:c>
      <x:c r="G257" s="11" t="str">
        <x:v>建筑DXF</x:v>
      </x:c>
      <x:c r="H257" s="18" t="str">
        <x:v>L3</x:v>
      </x:c>
      <x:c r="I257" s="11" t="str">
        <x:v>建筑图中的下挂构件被明确标为结构，不能随设备轮廓过滤。</x:v>
      </x:c>
      <x:c r="J257" s="18" t="str">
        <x:v>英文</x:v>
      </x:c>
      <x:c r="K257" s="11" t="str">
        <x:v>新建筑DXF通过明确结构层提供本题几何/连接；围护/设备为干扰层；工程附录明确支座、荷载、属性和坐标映射，不把墙线默认成杆件或支座。所有新附件待制作、盲审与验证。</x:v>
      </x:c>
      <x:c r="L257" s="22" t="n">
        <x:v>1</x:v>
      </x:c>
      <x:c r="M257" s="11" t="str">
        <x:v>几何：24m跨、12m高平顶单层框架；屋面中点向下接3m刚接短柱至(12,9)m；边界：两外柱脚固定，短柱下端自由；荷载：左半屋面向下36kN/m、右半18kN/m，短柱自由端Fz=-98、Fx=10kN；属性：主体柱C1、屋面B1、短柱C2，材料M1。（本栏是编题规格，实际用户输入按图/表分工呈现。）</x:v>
      </x:c>
      <x:c r="N257" s="11" t="str">
        <x:v>建筑图中的下挂构件被明确标为结构，不能随设备轮廓过滤。</x:v>
      </x:c>
      <x:c r="O257" s="11" t="str">
        <x:v>下挂端Ux/Uz、屋面中点弯矩；附与数值一致的模型/结果图。</x:v>
      </x:c>
      <x:c r="P257" s="11" t="str">
        <x:v>模型核对：柱顶吊车力改为屋面中点下挂短柱受载，并使用非对称屋面荷载。；数值/表述核对：下挂端Ux/Uz、屋面中点弯矩，位置、方向、单位须一致。</x:v>
      </x:c>
      <x:c r="Q257" s="18" t="str">
        <x:v>新增</x:v>
      </x:c>
      <x:c r="R257" s="11" t="str">
        <x:v>无</x:v>
      </x:c>
      <x:c r="S257" s="11" t="str">
        <x:v>无</x:v>
      </x:c>
      <x:c r="T257" s="11" t="str">
        <x:v>独立模型相对原场景的变化：柱顶吊车力改为屋面中点下挂短柱受载，并使用非对称屋面荷载。旧附件须按本模型重绘，旧数值仅作对照。基础来源：frame-industrial-heavy。</x:v>
      </x:c>
      <x:c r="U257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7" s="11" t="str">
        <x:v>基础工具；本题新增几何/属性与真值均待独立核验；材料截面代号须在本题附录定值。</x:v>
      </x:c>
      <x:c r="W257" s="11" t="str">
        <x:v>规划，待编题与验证</x:v>
      </x:c>
      <x:c r="X257" s="11" t="str">
        <x:v>OpenSees（按本题杆系与自由度建模的主选；现有工具链仍须逐题验证）。</x:v>
      </x:c>
      <x:c r="Y257" s="18" t="str">
        <x:v>OpenSees</x:v>
      </x:c>
      <x:c r="Z257" s="11" t="str">
        <x:v>屋面带下挂刚接短柱的工业框架为平面梁/刚架的直接力学建模与关键响应校核，规划OpenSees按实际杆段和约束组织分析；建筑图中的下挂构件被明确标为结构，不能随设备轮廓过滤。</x:v>
      </x:c>
      <x:c r="AA257" s="11" t="str">
        <x:v>下挂短柱是刚接弹性构件，不是设备注释或刚臂；端力原位施加；执行后按原题完整输出：下挂端Ux/Uz、屋面中点弯矩；附与数值一致的模型/结果图。本轮仅规划，不运行。</x:v>
      </x:c>
      <x:c r="AB257" s="11" t="str">
        <x:v>待逐题验证</x:v>
      </x:c>
      <x:c r="AC257" s="11" t="str">
        <x:v>尚未确认本题可通过；接口/求解/读回预检重点：下挂短柱是刚接弹性构件，不是设备注释或刚臂；端力原位施加。特殊单元、轴向、边界及组合均不因OpenSees原生支持而视作已接通。</x:v>
      </x:c>
      <x:c r="AD257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左半屋面向下36kN/m、右半18kN/m，短柱自由端Fz=-98、Fx=10kN；未指定组合时仅算题定基本荷载，指定组合逐组执行，不能用软件默认包络替换。</x:v>
      </x:c>
      <x:c r="AE25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7" s="11" t="str">
        <x:v>OPS；COMMON</x:v>
      </x:c>
    </x:row>
    <x:row r="258" ht="108" customHeight="1">
      <x:c r="A258" s="15" t="str">
        <x:v>MM-057</x:v>
      </x:c>
      <x:c r="B258" s="6" t="str">
        <x:v>多模态逆向建模</x:v>
      </x:c>
      <x:c r="C258" s="19" t="str">
        <x:v>M-MM-057</x:v>
      </x:c>
      <x:c r="D258" s="6" t="str">
        <x:v>第二层缺右跨梁的三层框架：图表联合</x:v>
      </x:c>
      <x:c r="E258" s="6" t="str">
        <x:v>平面钢框架</x:v>
      </x:c>
      <x:c r="F258" s="19" t="str">
        <x:v>2D</x:v>
      </x:c>
      <x:c r="G258" s="6" t="str">
        <x:v>图表联合</x:v>
      </x:c>
      <x:c r="H258" s="19" t="str">
        <x:v>L3</x:v>
      </x:c>
      <x:c r="I258" s="6" t="str">
        <x:v>缺梁层的轴网线不可当成梁，侧力节点仍存在于连续柱上。</x:v>
      </x:c>
      <x:c r="J258" s="19" t="str">
        <x:v>中文</x:v>
      </x:c>
      <x:c r="K258" s="6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58" s="23" t="n">
        <x:v>1</x:v>
      </x:c>
      <x:c r="M258" s="6" t="str">
        <x:v>几何：柱线x=0、6、12m，三层各3.6m，三条柱线完整；第一与第三层梁两跨均有，第二层仅左跨梁；边界：三柱脚固定、实际梁柱刚接；荷载：实际梁均向下10kN/m，右侧三个楼层节点依次Fx=10、15、20kN；属性：钢材M1、柱C1、梁B1。（本栏是编题规格，实际用户输入按图/表分工呈现。）</x:v>
      </x:c>
      <x:c r="N258" s="6" t="str">
        <x:v>缺梁层的轴网线不可当成梁，侧力节点仍存在于连续柱上。</x:v>
      </x:c>
      <x:c r="O258" s="6" t="str">
        <x:v>顶层右节点Ux、第二层右柱端弯矩；附与数值一致的模型/结果图。</x:v>
      </x:c>
      <x:c r="P258" s="6" t="str">
        <x:v>模型核对：规则三层两跨框架删除第二层右跨梁，保留该层侧力节点。；数值/表述核对：顶层右节点Ux、第二层右柱端弯矩，位置、方向、单位须一致。</x:v>
      </x:c>
      <x:c r="Q258" s="19" t="str">
        <x:v>新增</x:v>
      </x:c>
      <x:c r="R258" s="6" t="str">
        <x:v>无</x:v>
      </x:c>
      <x:c r="S258" s="6" t="str">
        <x:v>无</x:v>
      </x:c>
      <x:c r="T258" s="6" t="str">
        <x:v>独立模型相对原场景的变化：规则三层两跨框架删除第二层右跨梁，保留该层侧力节点。旧附件须按本模型重绘，旧数值仅作对照。基础来源：std-frame-3s2b-wind。</x:v>
      </x:c>
      <x:c r="U258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58" s="6" t="str">
        <x:v>基础工具；本题新增几何/属性与真值均待独立核验；材料截面代号须在本题附录定值。</x:v>
      </x:c>
      <x:c r="W258" s="6" t="str">
        <x:v>规划，待编题与验证</x:v>
      </x:c>
      <x:c r="X258" s="6" t="str">
        <x:v>OpenSees（按本题杆系与自由度建模的主选；现有工具链仍须逐题验证）。</x:v>
      </x:c>
      <x:c r="Y258" s="19" t="str">
        <x:v>OpenSees</x:v>
      </x:c>
      <x:c r="Z258" s="6" t="str">
        <x:v>第二层缺右跨梁的三层框架为平面梁/刚架的直接力学建模与关键响应校核，规划OpenSees按实际杆段和约束组织分析；缺梁层的轴网线不可当成梁，侧力节点仍存在于连续柱上。</x:v>
      </x:c>
      <x:c r="AA258" s="6" t="str">
        <x:v>第二层右跨缺梁但右柱连续且有该层侧力节点，不能一起删除；执行后按原题完整输出：顶层右节点Ux、第二层右柱端弯矩；附与数值一致的模型/结果图。本轮仅规划，不运行。</x:v>
      </x:c>
      <x:c r="AB258" s="6" t="str">
        <x:v>待逐题验证</x:v>
      </x:c>
      <x:c r="AC258" s="6" t="str">
        <x:v>尚未确认本题可通过；接口/求解/读回预检重点：第二层右跨缺梁但右柱连续且有该层侧力节点，不能一起删除。特殊单元、轴向、边界及组合均不因OpenSees原生支持而视作已接通。</x:v>
      </x:c>
      <x:c r="AD258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实际梁均向下10kN/m，右侧三个楼层节点依次Fx=10、15、20kN；未指定组合时仅算题定基本荷载，指定组合逐组执行，不能用软件默认包络替换。</x:v>
      </x:c>
      <x:c r="AE25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8" s="6" t="str">
        <x:v>OPS；COMMON</x:v>
      </x:c>
    </x:row>
    <x:row r="259" ht="94.5" customHeight="1">
      <x:c r="A259" s="14" t="str">
        <x:v>MM-058</x:v>
      </x:c>
      <x:c r="B259" s="11" t="str">
        <x:v>多模态逆向建模</x:v>
      </x:c>
      <x:c r="C259" s="18" t="str">
        <x:v>M-MM-058</x:v>
      </x:c>
      <x:c r="D259" s="11" t="str">
        <x:v>顶梁右侧外伸的裁切框架：缺失/质量澄清</x:v>
      </x:c>
      <x:c r="E259" s="11" t="str">
        <x:v>平面钢框架</x:v>
      </x:c>
      <x:c r="F259" s="18" t="str">
        <x:v>2D</x:v>
      </x:c>
      <x:c r="G259" s="11" t="str">
        <x:v>缺失/质量澄清</x:v>
      </x:c>
      <x:c r="H259" s="18" t="str">
        <x:v>L2</x:v>
      </x:c>
      <x:c r="I259" s="11" t="str">
        <x:v>先确认裁去的支承，再辨认柱顶之外的自由梁端。</x:v>
      </x:c>
      <x:c r="J259" s="18" t="str">
        <x:v>英文</x:v>
      </x:c>
      <x:c r="K259" s="11" t="str">
        <x:v>第1轮裁切PNG只丢失两柱脚约束符号，附录不重复给支承；第2轮补全图确认两柱脚均固定。材料截面与其余求解设置完整另附。所有新附件待制作、盲审与验证。</x:v>
      </x:c>
      <x:c r="L259" s="22" t="n">
        <x:v>2</x:v>
      </x:c>
      <x:c r="M259" s="11" t="str">
        <x:v>几何：柱线x=0、6m、高4m，顶梁从x=0延伸至8m，右侧2m自由外伸；边界：两柱脚固定；荷载：梁全长向下8kN/m，右自由端Fx=50kN；属性：钢材M1、柱C1、梁B1；首轮图裁去两柱脚符号，第二轮补全。（本栏是编题规格，实际用户输入按图/表分工呈现。）</x:v>
      </x:c>
      <x:c r="N259" s="11" t="str">
        <x:v>先确认裁去的支承，再辨认柱顶之外的自由梁端。</x:v>
      </x:c>
      <x:c r="O259" s="11" t="str">
        <x:v>补图后右自由端Ux/Uz、右柱脚弯矩；附与数值一致的模型/结果图。</x:v>
      </x:c>
      <x:c r="P259" s="11" t="str">
        <x:v>模型核对：单跨框架增加顶梁外伸，水平力由柱顶移到外伸端。；数值/表述核对：补图后右自由端Ux/Uz、右柱脚弯矩，位置、方向、单位须一致。首轮另查澄清是否针对指定缺项；允许有证据的正确推导。</x:v>
      </x:c>
      <x:c r="Q259" s="18" t="str">
        <x:v>旧题改编</x:v>
      </x:c>
      <x:c r="R259" s="11" t="str">
        <x:v>mm-cropped-frame-should-clarify</x:v>
      </x:c>
      <x:c r="S259" s="11" t="str">
        <x:v>无</x:v>
      </x:c>
      <x:c r="T259" s="11" t="str">
        <x:v>独立模型相对原场景的变化：单跨框架增加顶梁外伸，水平力由柱顶移到外伸端。旧附件须按本模型重绘，旧数值仅作对照。基础来源：std-generic-single-bay-lateral。多模态机制来源：mm-cropped-frame-should-clarify。</x:v>
      </x:c>
      <x:c r="U259" s="11" t="str">
        <x:v>独立建立并复核OpenSees参考模型，固定版本/求解设置及观测位置；以独立模型审阅、整体平衡及构件端力/节点结果一致性校核。不把展示层插值或图像读数直接当数值真值。首轮缺项/冲突仍只评价澄清；信息补齐后才执行最终模型并比对同一引擎参考。</x:v>
      </x:c>
      <x:c r="V259" s="11" t="str">
        <x:v>基础工具；本题新增几何/属性与真值均待独立核验；材料截面代号须在本题附录定值。</x:v>
      </x:c>
      <x:c r="W259" s="11" t="str">
        <x:v>规划，待编题与验证</x:v>
      </x:c>
      <x:c r="X259" s="11" t="str">
        <x:v>OpenSees（按本题杆系与自由度建模的主选；现有工具链仍须逐题验证）。</x:v>
      </x:c>
      <x:c r="Y259" s="18" t="str">
        <x:v>OpenSees</x:v>
      </x:c>
      <x:c r="Z259" s="11" t="str">
        <x:v>顶梁右侧外伸的裁切框架为平面梁/刚架的直接力学建模与关键响应校核，规划OpenSees按实际杆段和约束组织分析；先确认裁去的支承，再辨认柱顶之外的自由梁端。</x:v>
      </x:c>
      <x:c r="AA259" s="11" t="str">
        <x:v>补全柱脚后再算；右自由梁端施水平力，悬段不加支座；执行后按原题完整输出：补图后右自由端Ux/Uz、右柱脚弯矩；附与数值一致的模型/结果图。本轮仅规划，不运行。</x:v>
      </x:c>
      <x:c r="AB259" s="11" t="str">
        <x:v>待逐题验证</x:v>
      </x:c>
      <x:c r="AC259" s="11" t="str">
        <x:v>尚未确认本题可通过；接口/求解/读回预检重点：补全柱脚后再算；右自由梁端施水平力，悬段不加支座。特殊单元、轴向、边界及组合均不因OpenSees原生支持而视作已接通。</x:v>
      </x:c>
      <x:c r="AD259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梁全长向下8kN/m，右自由端Fx=50kN；未指定组合时仅算题定基本荷载，指定组合逐组执行，不能用软件默认包络替换。</x:v>
      </x:c>
      <x:c r="AE25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59" s="11" t="str">
        <x:v>OPS；COMMON</x:v>
      </x:c>
    </x:row>
    <x:row r="260" ht="94.5" customHeight="1">
      <x:c r="A260" s="15" t="str">
        <x:v>MM-059</x:v>
      </x:c>
      <x:c r="B260" s="6" t="str">
        <x:v>多模态逆向建模</x:v>
      </x:c>
      <x:c r="C260" s="19" t="str">
        <x:v>M-MM-059</x:v>
      </x:c>
      <x:c r="D260" s="6" t="str">
        <x:v>单层两跨单侧受荷钢框架：建筑DXF</x:v>
      </x:c>
      <x:c r="E260" s="6" t="str">
        <x:v>平面钢框架</x:v>
      </x:c>
      <x:c r="F260" s="19" t="str">
        <x:v>2D</x:v>
      </x:c>
      <x:c r="G260" s="6" t="str">
        <x:v>建筑DXF</x:v>
      </x:c>
      <x:c r="H260" s="19" t="str">
        <x:v>L2</x:v>
      </x:c>
      <x:c r="I260" s="6" t="str">
        <x:v>建筑DXF给完整无载右跨，不能因没有箭头忽略它。</x:v>
      </x:c>
      <x:c r="J260" s="19" t="str">
        <x:v>中文</x:v>
      </x:c>
      <x:c r="K260" s="6" t="str">
        <x:v>新建筑DXF通过明确结构层提供本题几何/连接；围护/设备为干扰层；工程附录明确支座、荷载、属性和坐标映射，不把墙线默认成杆件或支座。所有新附件待制作、盲审与验证。</x:v>
      </x:c>
      <x:c r="L260" s="23" t="n">
        <x:v>1</x:v>
      </x:c>
      <x:c r="M260" s="6" t="str">
        <x:v>几何：柱线x=0、6、9m，单层标高4.5m，两跨梁连续；边界：三柱脚固定、梁柱刚接；荷载：左跨向下48kN/m，右跨无载；属性：钢材M1、柱C1、梁B1。（本栏是编题规格，实际用户输入按图/表分工呈现。）</x:v>
      </x:c>
      <x:c r="N260" s="6" t="str">
        <x:v>建筑DXF给完整无载右跨，不能因没有箭头忽略它。</x:v>
      </x:c>
      <x:c r="O260" s="6" t="str">
        <x:v>左跨中点Uz、右柱顶Ux；附与数值一致的模型/结果图。</x:v>
      </x:c>
      <x:c r="P260" s="6" t="str">
        <x:v>模型核对：单跨框架增加右侧无载跨和第三根柱，改变刚接约束。；数值/表述核对：左跨中点Uz、右柱顶Ux，位置、方向、单位须一致。</x:v>
      </x:c>
      <x:c r="Q260" s="19" t="str">
        <x:v>旧题改编</x:v>
      </x:c>
      <x:c r="R260" s="6" t="str">
        <x:v>re-arch-frame-simple-1s1b</x:v>
      </x:c>
      <x:c r="S260" s="6" t="str">
        <x:v>无</x:v>
      </x:c>
      <x:c r="T260" s="6" t="str">
        <x:v>独立模型相对原场景的变化：单跨框架增加右侧无载跨和第三根柱，改变刚接约束。旧附件须按本模型重绘，旧数值仅作对照。基础来源：re-frame-simple-1s1b-mechanics。多模态机制来源：re-arch-frame-simple-1s1b。</x:v>
      </x:c>
      <x:c r="U260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0" s="6" t="str">
        <x:v>基础工具；本题新增几何/属性与真值均待独立核验；材料截面代号须在本题附录定值。</x:v>
      </x:c>
      <x:c r="W260" s="6" t="str">
        <x:v>规划，待编题与验证</x:v>
      </x:c>
      <x:c r="X260" s="6" t="str">
        <x:v>OpenSees（按本题杆系与自由度建模的主选；现有工具链仍须逐题验证）。</x:v>
      </x:c>
      <x:c r="Y260" s="19" t="str">
        <x:v>OpenSees</x:v>
      </x:c>
      <x:c r="Z260" s="6" t="str">
        <x:v>单层两跨单侧受荷钢框架为平面梁/刚架的直接力学建模与关键响应校核，规划OpenSees按实际杆段和约束组织分析；建筑DXF给完整无载右跨，不能因没有箭头忽略它。</x:v>
      </x:c>
      <x:c r="AA260" s="6" t="str">
        <x:v>右跨虽然无载仍保留其梁柱刚度，左跨线载只施加一次；执行后按原题完整输出：左跨中点Uz、右柱顶Ux；附与数值一致的模型/结果图。本轮仅规划，不运行。</x:v>
      </x:c>
      <x:c r="AB260" s="6" t="str">
        <x:v>待逐题验证</x:v>
      </x:c>
      <x:c r="AC260" s="6" t="str">
        <x:v>尚未确认本题可通过；接口/求解/读回预检重点：右跨虽然无载仍保留其梁柱刚度，左跨线载只施加一次。特殊单元、轴向、边界及组合均不因OpenSees原生支持而视作已接通。</x:v>
      </x:c>
      <x:c r="AD260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左跨向下48kN/m，右跨无载；未指定组合时仅算题定基本荷载，指定组合逐组执行，不能用软件默认包络替换。</x:v>
      </x:c>
      <x:c r="AE260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0" s="6" t="str">
        <x:v>OPS；COMMON</x:v>
      </x:c>
    </x:row>
    <x:row r="261" ht="108" customHeight="1">
      <x:c r="A261" s="14" t="str">
        <x:v>MM-060</x:v>
      </x:c>
      <x:c r="B261" s="11" t="str">
        <x:v>多模态逆向建模</x:v>
      </x:c>
      <x:c r="C261" s="18" t="str">
        <x:v>M-MM-060</x:v>
      </x:c>
      <x:c r="D261" s="11" t="str">
        <x:v>局部斜屋面两层钢框架：结构DXF</x:v>
      </x:c>
      <x:c r="E261" s="11" t="str">
        <x:v>平面钢框架</x:v>
      </x:c>
      <x:c r="F261" s="18" t="str">
        <x:v>2D</x:v>
      </x:c>
      <x:c r="G261" s="11" t="str">
        <x:v>结构DXF</x:v>
      </x:c>
      <x:c r="H261" s="18" t="str">
        <x:v>L3</x:v>
      </x:c>
      <x:c r="I261" s="11" t="str">
        <x:v>同层屋面两个标高且一根斜梁，荷载必须按实际长度全局竖向施加。</x:v>
      </x:c>
      <x:c r="J261" s="18" t="str">
        <x:v>英文</x:v>
      </x:c>
      <x:c r="K261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61" s="22" t="n">
        <x:v>1</x:v>
      </x:c>
      <x:c r="M261" s="11" t="str">
        <x:v>几何：柱线x=0、5.4、11.4m，第一层标高3.6m；第二层左中节点z=7.2m、右节点z=8.4m，右跨顶梁倾斜；边界：三柱脚固定、梁柱刚接；荷载：所有梁按实际长度D向下10、L向下8kN/m，组合1.2D+1.4L；属性：钢材M1、柱C1、梁B1。（本栏是编题规格，实际用户输入按图/表分工呈现。）</x:v>
      </x:c>
      <x:c r="N261" s="11" t="str">
        <x:v>同层屋面两个标高且一根斜梁，荷载必须按实际长度全局竖向施加。</x:v>
      </x:c>
      <x:c r="O261" s="11" t="str">
        <x:v>右屋面梁中点Uz、右柱顶Ux；附与数值一致的模型/结果图。</x:v>
      </x:c>
      <x:c r="P261" s="11" t="str">
        <x:v>模型核对：水平顶层框架改成局部斜屋面，右上柱与梁连接标高改变。；数值/表述核对：右屋面梁中点Uz、右柱顶Ux，位置、方向、单位须一致。</x:v>
      </x:c>
      <x:c r="Q261" s="18" t="str">
        <x:v>旧题改编</x:v>
      </x:c>
      <x:c r="R261" s="11" t="str">
        <x:v>re-dxf-frame-complex-2s2b</x:v>
      </x:c>
      <x:c r="S261" s="11" t="str">
        <x:v>无</x:v>
      </x:c>
      <x:c r="T261" s="11" t="str">
        <x:v>独立模型相对原场景的变化：水平顶层框架改成局部斜屋面，右上柱与梁连接标高改变。旧附件须按本模型重绘，旧数值仅作对照。基础来源：re-dxf-frame-complex-2s2b。多模态机制来源：re-dxf-frame-complex-2s2b。</x:v>
      </x:c>
      <x:c r="U261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1" s="11" t="str">
        <x:v>基础工具；本题新增几何/属性与真值均待独立核验；材料截面代号须在本题附录定值。斜杆全局荷载和局部轴适配待验证。</x:v>
      </x:c>
      <x:c r="W261" s="11" t="str">
        <x:v>规划，待编题与验证</x:v>
      </x:c>
      <x:c r="X261" s="11" t="str">
        <x:v>OpenSees（按本题杆系与自由度建模的主选；现有工具链仍须逐题验证）。</x:v>
      </x:c>
      <x:c r="Y261" s="18" t="str">
        <x:v>OpenSees</x:v>
      </x:c>
      <x:c r="Z261" s="11" t="str">
        <x:v>局部斜屋面两层钢框架为平面梁/刚架的直接力学建模与关键响应校核，规划OpenSees按实际杆段和约束组织分析；同层屋面两个标高且一根斜梁，荷载必须按实际长度全局竖向施加。</x:v>
      </x:c>
      <x:c r="AA261" s="11" t="str">
        <x:v>右屋面斜梁按实际长度承D/L；显式映射1.2D+1.4L而非默认组合；执行后按原题完整输出：右屋面梁中点Uz、右柱顶Ux；附与数值一致的模型/结果图。本轮仅规划，不运行。</x:v>
      </x:c>
      <x:c r="AB261" s="11" t="str">
        <x:v>待逐题验证</x:v>
      </x:c>
      <x:c r="AC261" s="11" t="str">
        <x:v>尚未确认本题可通过；接口/求解/读回预检重点：右屋面斜梁按实际长度承D/L；显式映射1.2D+1.4L而非默认组合。特殊单元、轴向、边界及组合均不因OpenSees原生支持而视作已接通。</x:v>
      </x:c>
      <x:c r="AD261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所有梁按实际长度D向下10、L向下8kN/m，组合1.2D+1.4L；未指定组合时仅算题定基本荷载，指定组合逐组执行，不能用软件默认包络替换。</x:v>
      </x:c>
      <x:c r="AE261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1" s="11" t="str">
        <x:v>OPS；COMMON</x:v>
      </x:c>
    </x:row>
    <x:row r="262" ht="94.5" customHeight="1">
      <x:c r="A262" s="15" t="str">
        <x:v>MM-061</x:v>
      </x:c>
      <x:c r="B262" s="6" t="str">
        <x:v>多模态逆向建模</x:v>
      </x:c>
      <x:c r="C262" s="19" t="str">
        <x:v>M-MM-061</x:v>
      </x:c>
      <x:c r="D262" s="6" t="str">
        <x:v>三种柱脚边界的不等跨框架：工程标注图</x:v>
      </x:c>
      <x:c r="E262" s="6" t="str">
        <x:v>平面钢框架</x:v>
      </x:c>
      <x:c r="F262" s="19" t="str">
        <x:v>2D</x:v>
      </x:c>
      <x:c r="G262" s="6" t="str">
        <x:v>工程标注图</x:v>
      </x:c>
      <x:c r="H262" s="19" t="str">
        <x:v>L3</x:v>
      </x:c>
      <x:c r="I262" s="6" t="str">
        <x:v>三柱脚的不同图符不能用统一约束替代，右柱水平位移应可发生。</x:v>
      </x:c>
      <x:c r="J262" s="19" t="str">
        <x:v>中文</x:v>
      </x:c>
      <x:c r="K262" s="6" t="str">
        <x:v>新工程PNG的总图/局部详图给本题几何、连接、支承和荷载位置；图中构件索引关联完整属性表，正文不重述拓扑。所有新附件待制作、盲审与验证。</x:v>
      </x:c>
      <x:c r="L262" s="23" t="n">
        <x:v>1</x:v>
      </x:c>
      <x:c r="M262" s="6" t="str">
        <x:v>几何：两层框架，跨长4.5、7.5m，层高3.6、4.2m；边界：左柱脚铰、中柱脚固定、右柱脚仅竖向滚支；荷载：所有楼层梁向下10kN/m，顶层右节点Fx=20kN；属性：钢材M1、柱C1、梁B1。（本栏是编题规格，实际用户输入按图/表分工呈现。）</x:v>
      </x:c>
      <x:c r="N262" s="6" t="str">
        <x:v>三柱脚的不同图符不能用统一约束替代，右柱水平位移应可发生。</x:v>
      </x:c>
      <x:c r="O262" s="6" t="str">
        <x:v>顶层右节点Ux、右柱脚Ux及中柱底弯矩；附与数值一致的模型/结果图。</x:v>
      </x:c>
      <x:c r="P262" s="6" t="str">
        <x:v>模型核对：全固定柱脚改为铰/固/滚混合约束，侧向和重力传力均变化。；数值/表述核对：顶层右节点Ux、右柱脚Ux及中柱底弯矩，位置、方向、单位须一致。</x:v>
      </x:c>
      <x:c r="Q262" s="19" t="str">
        <x:v>新增</x:v>
      </x:c>
      <x:c r="R262" s="6" t="str">
        <x:v>无</x:v>
      </x:c>
      <x:c r="S262" s="6" t="str">
        <x:v>无</x:v>
      </x:c>
      <x:c r="T262" s="6" t="str">
        <x:v>独立模型相对原场景的变化：全固定柱脚改为铰/固/滚混合约束，侧向和重力传力均变化。旧附件须按本模型重绘，旧数值仅作对照。</x:v>
      </x:c>
      <x:c r="U262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2" s="6" t="str">
        <x:v>基础工具；本题新增几何/属性与真值均待独立核验；材料截面代号须在本题附录定值。</x:v>
      </x:c>
      <x:c r="W262" s="6" t="str">
        <x:v>规划，待编题与验证</x:v>
      </x:c>
      <x:c r="X262" s="6" t="str">
        <x:v>OpenSees（按本题杆系与自由度建模的主选；现有工具链仍须逐题验证）。</x:v>
      </x:c>
      <x:c r="Y262" s="19" t="str">
        <x:v>OpenSees</x:v>
      </x:c>
      <x:c r="Z262" s="6" t="str">
        <x:v>三种柱脚边界的不等跨框架为平面梁/刚架的直接力学建模与关键响应校核，规划OpenSees按实际杆段和约束组织分析；三柱脚的不同图符不能用统一约束替代，右柱水平位移应可发生。</x:v>
      </x:c>
      <x:c r="AA262" s="6" t="str">
        <x:v>三个柱脚分别铰/固/竖滚，右柱脚Ux保持自由且输出可追溯；执行后按原题完整输出：顶层右节点Ux、右柱脚Ux及中柱底弯矩；附与数值一致的模型/结果图。本轮仅规划，不运行。</x:v>
      </x:c>
      <x:c r="AB262" s="6" t="str">
        <x:v>待逐题验证</x:v>
      </x:c>
      <x:c r="AC262" s="6" t="str">
        <x:v>尚未确认本题可通过；接口/求解/读回预检重点：三个柱脚分别铰/固/竖滚，右柱脚Ux保持自由且输出可追溯。特殊单元、轴向、边界及组合均不因OpenSees原生支持而视作已接通。</x:v>
      </x:c>
      <x:c r="AD262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所有楼层梁向下10kN/m，顶层右节点Fx=20kN；未指定组合时仅算题定基本荷载，指定组合逐组执行，不能用软件默认包络替换。</x:v>
      </x:c>
      <x:c r="AE262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2" s="6" t="str">
        <x:v>OPS；COMMON</x:v>
      </x:c>
    </x:row>
    <x:row r="263" ht="108" customHeight="1">
      <x:c r="A263" s="14" t="str">
        <x:v>MM-062</x:v>
      </x:c>
      <x:c r="B263" s="11" t="str">
        <x:v>多模态逆向建模</x:v>
      </x:c>
      <x:c r="C263" s="18" t="str">
        <x:v>M-MM-062</x:v>
      </x:c>
      <x:c r="D263" s="11" t="str">
        <x:v>退台上层左侧悬挑框架：建筑DXF</x:v>
      </x:c>
      <x:c r="E263" s="11" t="str">
        <x:v>平面钢框架</x:v>
      </x:c>
      <x:c r="F263" s="18" t="str">
        <x:v>2D</x:v>
      </x:c>
      <x:c r="G263" s="11" t="str">
        <x:v>建筑DXF</x:v>
      </x:c>
      <x:c r="H263" s="18" t="str">
        <x:v>L3</x:v>
      </x:c>
      <x:c r="I263" s="11" t="str">
        <x:v>上层退台与左向悬挑同时出现，空缺右跨不得补齐。</x:v>
      </x:c>
      <x:c r="J263" s="18" t="str">
        <x:v>英文</x:v>
      </x:c>
      <x:c r="K263" s="11" t="str">
        <x:v>新建筑DXF通过明确结构层提供本题几何/连接；围护/设备为干扰层；工程附录明确支座、荷载、属性和坐标映射，不把墙线默认成杆件或支座。所有新附件待制作、盲审与验证。</x:v>
      </x:c>
      <x:c r="L263" s="22" t="n">
        <x:v>1</x:v>
      </x:c>
      <x:c r="M263" s="11" t="str">
        <x:v>几何：下层两跨各6m、标高3.6m；上层仅x=0、6m两柱，顶标高6.9m，顶梁从x=-2延伸到6m；边界：三底柱脚固定；荷载：下层梁向下10kN/m，顶层主跨向下8kN/m、左悬挑段12kN/m；属性：M1、柱C1、主梁B1、悬段B2。（本栏是编题规格，实际用户输入按图/表分工呈现。）</x:v>
      </x:c>
      <x:c r="N263" s="11" t="str">
        <x:v>上层退台与左向悬挑同时出现，空缺右跨不得补齐。</x:v>
      </x:c>
      <x:c r="O263" s="11" t="str">
        <x:v>上层左自由端Uz、上层左柱顶弯矩；附与数值一致的模型/结果图。</x:v>
      </x:c>
      <x:c r="P263" s="11" t="str">
        <x:v>模型核对：退台框架上层新增左悬段和独立属性/载荷区。；数值/表述核对：上层左自由端Uz、上层左柱顶弯矩，位置、方向、单位须一致。</x:v>
      </x:c>
      <x:c r="Q263" s="18" t="str">
        <x:v>新增</x:v>
      </x:c>
      <x:c r="R263" s="11" t="str">
        <x:v>无</x:v>
      </x:c>
      <x:c r="S263" s="11" t="str">
        <x:v>无</x:v>
      </x:c>
      <x:c r="T263" s="11" t="str">
        <x:v>独立模型相对原场景的变化：退台框架上层新增左悬段和独立属性/载荷区。旧附件须按本模型重绘，旧数值仅作对照。</x:v>
      </x:c>
      <x:c r="U263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3" s="11" t="str">
        <x:v>基础工具；本题新增几何/属性与真值均待独立核验；材料截面代号须在本题附录定值。</x:v>
      </x:c>
      <x:c r="W263" s="11" t="str">
        <x:v>规划，待编题与验证</x:v>
      </x:c>
      <x:c r="X263" s="11" t="str">
        <x:v>OpenSees（按本题杆系与自由度建模的主选；现有工具链仍须逐题验证）。</x:v>
      </x:c>
      <x:c r="Y263" s="18" t="str">
        <x:v>OpenSees</x:v>
      </x:c>
      <x:c r="Z263" s="11" t="str">
        <x:v>退台上层左侧悬挑框架为平面梁/刚架的直接力学建模与关键响应校核，规划OpenSees按实际杆段和约束组织分析；上层退台与左向悬挑同时出现，空缺右跨不得补齐。</x:v>
      </x:c>
      <x:c r="AA263" s="11" t="str">
        <x:v>下层右跨与上层左挑不同；左悬段单独截面和线载，不补齐右上跨；执行后按原题完整输出：上层左自由端Uz、上层左柱顶弯矩；附与数值一致的模型/结果图。本轮仅规划，不运行。</x:v>
      </x:c>
      <x:c r="AB263" s="11" t="str">
        <x:v>待逐题验证</x:v>
      </x:c>
      <x:c r="AC263" s="11" t="str">
        <x:v>尚未确认本题可通过；接口/求解/读回预检重点：下层右跨与上层左挑不同；左悬段单独截面和线载，不补齐右上跨。特殊单元、轴向、边界及组合均不因OpenSees原生支持而视作已接通。</x:v>
      </x:c>
      <x:c r="AD263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下层梁向下10kN/m，顶层主跨向下8kN/m、左悬挑段12kN/m；未指定组合时仅算题定基本荷载，指定组合逐组执行，不能用软件默认包络替换。</x:v>
      </x:c>
      <x:c r="AE26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3" s="11" t="str">
        <x:v>OPS；COMMON</x:v>
      </x:c>
    </x:row>
    <x:row r="264" ht="94.5" customHeight="1">
      <x:c r="A264" s="15" t="str">
        <x:v>MM-063</x:v>
      </x:c>
      <x:c r="B264" s="6" t="str">
        <x:v>多模态逆向建模</x:v>
      </x:c>
      <x:c r="C264" s="19" t="str">
        <x:v>M-MM-063</x:v>
      </x:c>
      <x:c r="D264" s="6" t="str">
        <x:v>逐层反向单斜撑框架：工程标注图</x:v>
      </x:c>
      <x:c r="E264" s="6" t="str">
        <x:v>平面钢框架</x:v>
      </x:c>
      <x:c r="F264" s="19" t="str">
        <x:v>2D</x:v>
      </x:c>
      <x:c r="G264" s="6" t="str">
        <x:v>工程标注图</x:v>
      </x:c>
      <x:c r="H264" s="19" t="str">
        <x:v>L3</x:v>
      </x:c>
      <x:c r="I264" s="6" t="str">
        <x:v>两根斜撑分属不同楼层且反向，不能在首层生成X撑。</x:v>
      </x:c>
      <x:c r="J264" s="19" t="str">
        <x:v>中文</x:v>
      </x:c>
      <x:c r="K264" s="6" t="str">
        <x:v>新工程PNG的总图/局部详图给本题几何、连接、支承和荷载位置；图中构件索引关联完整属性表，正文不重述拓扑。所有新附件待制作、盲审与验证。</x:v>
      </x:c>
      <x:c r="L264" s="23" t="n">
        <x:v>1</x:v>
      </x:c>
      <x:c r="M264" s="6" t="str">
        <x:v>几何：两层单跨6m、每层3.6m；第一层斜撑连左下至右上，第二层斜撑连右下至左上，其余为刚接梁柱；边界：两柱脚固定，斜撑仅承轴力；荷载：两层梁向下10kN/m，顶层右节点Fx=20kN；属性：M1、柱C1、梁B1、支撑A1。（本栏是编题规格，实际用户输入按图/表分工呈现。）</x:v>
      </x:c>
      <x:c r="N264" s="6" t="str">
        <x:v>两根斜撑分属不同楼层且反向，不能在首层生成X撑。</x:v>
      </x:c>
      <x:c r="O264" s="6" t="str">
        <x:v>顶层右节点Ux、两根斜撑轴力；附与数值一致的模型/结果图。</x:v>
      </x:c>
      <x:c r="P264" s="6" t="str">
        <x:v>模型核对：首层X撑改为两层各一根反向斜撑，支撑节点连接实质变化。；数值/表述核对：顶层右节点Ux、两根斜撑轴力，位置、方向、单位须一致。</x:v>
      </x:c>
      <x:c r="Q264" s="19" t="str">
        <x:v>新增</x:v>
      </x:c>
      <x:c r="R264" s="6" t="str">
        <x:v>无</x:v>
      </x:c>
      <x:c r="S264" s="6" t="str">
        <x:v>无</x:v>
      </x:c>
      <x:c r="T264" s="6" t="str">
        <x:v>独立模型相对原场景的变化：首层X撑改为两层各一根反向斜撑，支撑节点连接实质变化。旧附件须按本模型重绘，旧数值仅作对照。</x:v>
      </x:c>
      <x:c r="U264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4" s="6" t="str">
        <x:v>混合单元工具链需验证；本题新增几何/属性与真值均待独立核验；材料截面代号须在本题附录定值。梁柱与轴力杆混合单元链路待验证。</x:v>
      </x:c>
      <x:c r="W264" s="6" t="str">
        <x:v>规划，待编题与验证</x:v>
      </x:c>
      <x:c r="X264" s="6" t="str">
        <x:v>OpenSees（按本题杆系与自由度建模的主选；现有工具链仍须逐题验证）。</x:v>
      </x:c>
      <x:c r="Y264" s="19" t="str">
        <x:v>OpenSees</x:v>
      </x:c>
      <x:c r="Z264" s="6" t="str">
        <x:v>逐层反向单斜撑框架为平面梁/刚架的直接力学建模与关键响应校核，规划OpenSees按实际杆段和约束组织分析；两根斜撑分属不同楼层且反向，不能在首层生成X撑。</x:v>
      </x:c>
      <x:c r="AA264" s="6" t="str">
        <x:v>先验梁柱与轴力支撑混合自由度兼容，两层斜撑端点各自对应；执行后按原题完整输出：顶层右节点Ux、两根斜撑轴力；附与数值一致的模型/结果图。本轮仅规划，不运行。</x:v>
      </x:c>
      <x:c r="AB264" s="6" t="str">
        <x:v>待逐题验证</x:v>
      </x:c>
      <x:c r="AC264" s="6" t="str">
        <x:v>尚未确认本题可通过；接口/求解/读回预检重点：先验梁柱与轴力支撑混合自由度兼容，两层斜撑端点各自对应。特殊单元、轴向、边界及组合均不因OpenSees原生支持而视作已接通。</x:v>
      </x:c>
      <x:c r="AD264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两层梁向下10kN/m，顶层右节点Fx=20kN；未指定组合时仅算题定基本荷载，指定组合逐组执行，不能用软件默认包络替换。</x:v>
      </x:c>
      <x:c r="AE26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4" s="6" t="str">
        <x:v>OPS；COMMON</x:v>
      </x:c>
    </x:row>
    <x:row r="265" ht="108" customHeight="1">
      <x:c r="A265" s="14" t="str">
        <x:v>MM-064</x:v>
      </x:c>
      <x:c r="B265" s="11" t="str">
        <x:v>多模态逆向建模</x:v>
      </x:c>
      <x:c r="C265" s="18" t="str">
        <x:v>M-MM-064</x:v>
      </x:c>
      <x:c r="D265" s="11" t="str">
        <x:v>两层左右交错悬挑框架：结构DXF</x:v>
      </x:c>
      <x:c r="E265" s="11" t="str">
        <x:v>平面钢框架</x:v>
      </x:c>
      <x:c r="F265" s="18" t="str">
        <x:v>2D</x:v>
      </x:c>
      <x:c r="G265" s="11" t="str">
        <x:v>结构DXF</x:v>
      </x:c>
      <x:c r="H265" s="18" t="str">
        <x:v>L3</x:v>
      </x:c>
      <x:c r="I265" s="11" t="str">
        <x:v>上下楼层的悬挑方向相反，不能把第一层复制到第二层。</x:v>
      </x:c>
      <x:c r="J265" s="18" t="str">
        <x:v>英文</x:v>
      </x:c>
      <x:c r="K265" s="11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65" s="22" t="n">
        <x:v>1</x:v>
      </x:c>
      <x:c r="M265" s="11" t="str">
        <x:v>几何：两层单跨6m、层高3.6m；第一层梁向右外伸1.5m，第二层梁向左外伸2m；边界：两柱脚固定、梁柱及悬段刚接；荷载：主跨梁均向下10kN/m，下层右悬段6、上层左悬段12kN/m；属性：M1、柱C1、主梁B1、悬段B2。（本栏是编题规格，实际用户输入按图/表分工呈现。）</x:v>
      </x:c>
      <x:c r="N265" s="11" t="str">
        <x:v>上下楼层的悬挑方向相反，不能把第一层复制到第二层。</x:v>
      </x:c>
      <x:c r="O265" s="11" t="str">
        <x:v>两个悬挑自由端Uz、上层左根部弯矩；附与数值一致的模型/结果图。</x:v>
      </x:c>
      <x:c r="P265" s="11" t="str">
        <x:v>模型核对：原同侧双层外挑改为上下层交错方向外挑。；数值/表述核对：两个悬挑自由端Uz、上层左根部弯矩，位置、方向、单位须一致。</x:v>
      </x:c>
      <x:c r="Q265" s="18" t="str">
        <x:v>新增</x:v>
      </x:c>
      <x:c r="R265" s="11" t="str">
        <x:v>无</x:v>
      </x:c>
      <x:c r="S265" s="11" t="str">
        <x:v>无</x:v>
      </x:c>
      <x:c r="T265" s="11" t="str">
        <x:v>独立模型相对原场景的变化：原同侧双层外挑改为上下层交错方向外挑。旧附件须按本模型重绘，旧数值仅作对照。</x:v>
      </x:c>
      <x:c r="U265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5" s="11" t="str">
        <x:v>基础工具；本题新增几何/属性与真值均待独立核验；材料截面代号须在本题附录定值。</x:v>
      </x:c>
      <x:c r="W265" s="11" t="str">
        <x:v>规划，待编题与验证</x:v>
      </x:c>
      <x:c r="X265" s="11" t="str">
        <x:v>OpenSees（按本题杆系与自由度建模的主选；现有工具链仍须逐题验证）。</x:v>
      </x:c>
      <x:c r="Y265" s="18" t="str">
        <x:v>OpenSees</x:v>
      </x:c>
      <x:c r="Z265" s="11" t="str">
        <x:v>两层左右交错悬挑框架为平面梁/刚架的直接力学建模与关键响应校核，规划OpenSees按实际杆段和约束组织分析；上下楼层的悬挑方向相反，不能把第一层复制到第二层。</x:v>
      </x:c>
      <x:c r="AA265" s="11" t="str">
        <x:v>上下层外挑方向相反，加载与截面按实际悬段位置而非复制层处理；执行后按原题完整输出：两个悬挑自由端Uz、上层左根部弯矩；附与数值一致的模型/结果图。本轮仅规划，不运行。</x:v>
      </x:c>
      <x:c r="AB265" s="11" t="str">
        <x:v>待逐题验证</x:v>
      </x:c>
      <x:c r="AC265" s="11" t="str">
        <x:v>尚未确认本题可通过；接口/求解/读回预检重点：上下层外挑方向相反，加载与截面按实际悬段位置而非复制层处理。特殊单元、轴向、边界及组合均不因OpenSees原生支持而视作已接通。</x:v>
      </x:c>
      <x:c r="AD265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主跨梁均向下10kN/m，下层右悬段6、上层左悬段12kN/m；未指定组合时仅算题定基本荷载，指定组合逐组执行，不能用软件默认包络替换。</x:v>
      </x:c>
      <x:c r="AE26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5" s="11" t="str">
        <x:v>OPS；COMMON</x:v>
      </x:c>
    </x:row>
    <x:row r="266" ht="108" customHeight="1">
      <x:c r="A266" s="15" t="str">
        <x:v>MM-065</x:v>
      </x:c>
      <x:c r="B266" s="6" t="str">
        <x:v>多模态逆向建模</x:v>
      </x:c>
      <x:c r="C266" s="19" t="str">
        <x:v>M-MM-065</x:v>
      </x:c>
      <x:c r="D266" s="6" t="str">
        <x:v>顶层取消中柱的三层框架：工程标注图</x:v>
      </x:c>
      <x:c r="E266" s="6" t="str">
        <x:v>平面钢框架</x:v>
      </x:c>
      <x:c r="F266" s="19" t="str">
        <x:v>2D</x:v>
      </x:c>
      <x:c r="G266" s="6" t="str">
        <x:v>工程标注图</x:v>
      </x:c>
      <x:c r="H266" s="19" t="str">
        <x:v>L3</x:v>
      </x:c>
      <x:c r="I266" s="6" t="str">
        <x:v>顶层中点是荷载与连续梁节点，不是中柱支点。</x:v>
      </x:c>
      <x:c r="J266" s="19" t="str">
        <x:v>中文</x:v>
      </x:c>
      <x:c r="K266" s="6" t="str">
        <x:v>新工程PNG的总图/局部详图给本题几何、连接、支承和荷载位置；图中构件索引关联完整属性表，正文不重述拓扑。所有新附件待制作、盲审与验证。</x:v>
      </x:c>
      <x:c r="L266" s="23" t="n">
        <x:v>1</x:v>
      </x:c>
      <x:c r="M266" s="6" t="str">
        <x:v>几何：三层各3.3m、柱线x=0、5、10m；中柱只到第二层z=6.6m，顶层屋面梁跨10m且在x=5m连续无支承；边界：三柱脚固定、实际梁柱刚接；荷载：一二层梁向下12、10kN/m，顶层全梁6kN/m且中点向下25kN；属性：M1、柱C1、梁B1。（本栏是编题规格，实际用户输入按图/表分工呈现。）</x:v>
      </x:c>
      <x:c r="N266" s="6" t="str">
        <x:v>顶层中点是荷载与连续梁节点，不是中柱支点。</x:v>
      </x:c>
      <x:c r="O266" s="6" t="str">
        <x:v>顶层中点Uz、第二层中柱轴力；附与数值一致的模型/结果图。</x:v>
      </x:c>
      <x:c r="P266" s="6" t="str">
        <x:v>模型核对：三层规则框架删除顶层中柱，并在大跨中点增加点载。；数值/表述核对：顶层中点Uz、第二层中柱轴力，位置、方向、单位须一致。</x:v>
      </x:c>
      <x:c r="Q266" s="19" t="str">
        <x:v>新增</x:v>
      </x:c>
      <x:c r="R266" s="6" t="str">
        <x:v>无</x:v>
      </x:c>
      <x:c r="S266" s="6" t="str">
        <x:v>无</x:v>
      </x:c>
      <x:c r="T266" s="6" t="str">
        <x:v>独立模型相对原场景的变化：三层规则框架删除顶层中柱，并在大跨中点增加点载。旧附件须按本模型重绘，旧数值仅作对照。</x:v>
      </x:c>
      <x:c r="U266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6" s="6" t="str">
        <x:v>基础工具；本题新增几何/属性与真值均待独立核验；材料截面代号须在本题附录定值。</x:v>
      </x:c>
      <x:c r="W266" s="6" t="str">
        <x:v>规划，待编题与验证</x:v>
      </x:c>
      <x:c r="X266" s="6" t="str">
        <x:v>OpenSees（按本题杆系与自由度建模的主选；现有工具链仍须逐题验证）。</x:v>
      </x:c>
      <x:c r="Y266" s="19" t="str">
        <x:v>OpenSees</x:v>
      </x:c>
      <x:c r="Z266" s="6" t="str">
        <x:v>顶层取消中柱的三层框架为平面梁/刚架的直接力学建模与关键响应校核，规划OpenSees按实际杆段和约束组织分析；顶层中点是荷载与连续梁节点，不是中柱支点。</x:v>
      </x:c>
      <x:c r="AA266" s="6" t="str">
        <x:v>顶层中点无下方柱段但保留点力与梁连续，读取中点Uz；执行后按原题完整输出：顶层中点Uz、第二层中柱轴力；附与数值一致的模型/结果图。本轮仅规划，不运行。</x:v>
      </x:c>
      <x:c r="AB266" s="6" t="str">
        <x:v>待逐题验证</x:v>
      </x:c>
      <x:c r="AC266" s="6" t="str">
        <x:v>尚未确认本题可通过；接口/求解/读回预检重点：顶层中点无下方柱段但保留点力与梁连续，读取中点Uz。特殊单元、轴向、边界及组合均不因OpenSees原生支持而视作已接通。</x:v>
      </x:c>
      <x:c r="AD266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一二层梁向下12、10kN/m，顶层全梁6kN/m且中点向下25kN；未指定组合时仅算题定基本荷载，指定组合逐组执行，不能用软件默认包络替换。</x:v>
      </x:c>
      <x:c r="AE26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6" s="6" t="str">
        <x:v>OPS；COMMON</x:v>
      </x:c>
    </x:row>
    <x:row r="267" ht="94.5" customHeight="1">
      <x:c r="A267" s="14" t="str">
        <x:v>MM-066</x:v>
      </x:c>
      <x:c r="B267" s="11" t="str">
        <x:v>多模态逆向建模</x:v>
      </x:c>
      <x:c r="C267" s="18" t="str">
        <x:v>M-MM-066</x:v>
      </x:c>
      <x:c r="D267" s="11" t="str">
        <x:v>跨内截面分界钢框架：图表联合</x:v>
      </x:c>
      <x:c r="E267" s="11" t="str">
        <x:v>平面钢框架</x:v>
      </x:c>
      <x:c r="F267" s="18" t="str">
        <x:v>2D</x:v>
      </x:c>
      <x:c r="G267" s="11" t="str">
        <x:v>图表联合</x:v>
      </x:c>
      <x:c r="H267" s="18" t="str">
        <x:v>L3</x:v>
      </x:c>
      <x:c r="I267" s="11" t="str">
        <x:v>截面索引不只按整根梁分配，一根梁内还需正确分段。</x:v>
      </x:c>
      <x:c r="J267" s="18" t="str">
        <x:v>英文</x:v>
      </x:c>
      <x:c r="K267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67" s="22" t="n">
        <x:v>1</x:v>
      </x:c>
      <x:c r="M267" s="11" t="str">
        <x:v>几何：两层两跨各6m、层高3.6m，左下层梁在x=3m增设属性分界点；边界：三柱脚固定；荷载：所有梁向下10kN/m，顶层中节点Fx=30kN；属性：边柱C1、中柱C2；左下梁前半B1后半B2，右下B3，左上B3右上B1，材料M1。（本栏是编题规格，实际用户输入按图/表分工呈现。）</x:v>
      </x:c>
      <x:c r="N267" s="11" t="str">
        <x:v>截面索引不只按整根梁分配，一根梁内还需正确分段。</x:v>
      </x:c>
      <x:c r="O267" s="11" t="str">
        <x:v>左下梁中点Uz、顶层中节点Ux；附与数值一致的模型/结果图。</x:v>
      </x:c>
      <x:c r="P267" s="11" t="str">
        <x:v>模型核对：整梁角色分组改为跨内分段与跨层交错截面分组。；数值/表述核对：左下梁中点Uz、顶层中节点Ux，位置、方向、单位须一致。</x:v>
      </x:c>
      <x:c r="Q267" s="18" t="str">
        <x:v>新增</x:v>
      </x:c>
      <x:c r="R267" s="11" t="str">
        <x:v>无</x:v>
      </x:c>
      <x:c r="S267" s="11" t="str">
        <x:v>无</x:v>
      </x:c>
      <x:c r="T267" s="11" t="str">
        <x:v>独立模型相对原场景的变化：整梁角色分组改为跨内分段与跨层交错截面分组。旧附件须按本模型重绘，旧数值仅作对照。</x:v>
      </x:c>
      <x:c r="U267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7" s="11" t="str">
        <x:v>基础工具；本题新增几何/属性与真值均待独立核验；材料截面代号须在本题附录定值。</x:v>
      </x:c>
      <x:c r="W267" s="11" t="str">
        <x:v>规划，待编题与验证</x:v>
      </x:c>
      <x:c r="X267" s="11" t="str">
        <x:v>OpenSees（按本题杆系与自由度建模的主选；现有工具链仍须逐题验证）。</x:v>
      </x:c>
      <x:c r="Y267" s="18" t="str">
        <x:v>OpenSees</x:v>
      </x:c>
      <x:c r="Z267" s="11" t="str">
        <x:v>跨内截面分界钢框架为平面梁/刚架的直接力学建模与关键响应校核，规划OpenSees按实际杆段和约束组织分析；截面索引不只按整根梁分配，一根梁内还需正确分段。</x:v>
      </x:c>
      <x:c r="AA267" s="11" t="str">
        <x:v>左下梁跨内切分，构件ID到截面表映射可追溯；不统一全梁B1；执行后按原题完整输出：左下梁中点Uz、顶层中节点Ux；附与数值一致的模型/结果图。本轮仅规划，不运行。</x:v>
      </x:c>
      <x:c r="AB267" s="11" t="str">
        <x:v>待逐题验证</x:v>
      </x:c>
      <x:c r="AC267" s="11" t="str">
        <x:v>尚未确认本题可通过；接口/求解/读回预检重点：左下梁跨内切分，构件ID到截面表映射可追溯；不统一全梁B1。特殊单元、轴向、边界及组合均不因OpenSees原生支持而视作已接通。</x:v>
      </x:c>
      <x:c r="AD267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所有梁向下10kN/m，顶层中节点Fx=30kN；未指定组合时仅算题定基本荷载，指定组合逐组执行，不能用软件默认包络替换。</x:v>
      </x:c>
      <x:c r="AE26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7" s="11" t="str">
        <x:v>OPS；COMMON</x:v>
      </x:c>
    </x:row>
    <x:row r="268" ht="94.5" customHeight="1">
      <x:c r="A268" s="15" t="str">
        <x:v>MM-067</x:v>
      </x:c>
      <x:c r="B268" s="6" t="str">
        <x:v>多模态逆向建模</x:v>
      </x:c>
      <x:c r="C268" s="19" t="str">
        <x:v>M-MM-067</x:v>
      </x:c>
      <x:c r="D268" s="6" t="str">
        <x:v>下层无中柱的转换框架：结构DXF</x:v>
      </x:c>
      <x:c r="E268" s="6" t="str">
        <x:v>平面钢框架</x:v>
      </x:c>
      <x:c r="F268" s="19" t="str">
        <x:v>2D</x:v>
      </x:c>
      <x:c r="G268" s="6" t="str">
        <x:v>结构DXF</x:v>
      </x:c>
      <x:c r="H268" s="19" t="str">
        <x:v>L3</x:v>
      </x:c>
      <x:c r="I268" s="6" t="str">
        <x:v>中柱只出现在上层，不能把它向下延伸成不存在的基础柱。</x:v>
      </x:c>
      <x:c r="J268" s="19" t="str">
        <x:v>中文</x:v>
      </x:c>
      <x:c r="K268" s="6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68" s="23" t="n">
        <x:v>1</x:v>
      </x:c>
      <x:c r="M268" s="6" t="str">
        <x:v>几何：两层总高7.2m、两跨各5m；底层只有x=0、10m两柱，z=3.6m为10m连续转换梁；上层在x=0、5、10m设三柱并与顶梁连接；边界：底两柱脚固定，转换梁中点与上中柱刚接；荷载：两层实际梁均向下10kN/m；属性：M1、柱C1、普通梁B1、转换梁B2。（本栏是编题规格，实际用户输入按图/表分工呈现。）</x:v>
      </x:c>
      <x:c r="N268" s="6" t="str">
        <x:v>中柱只出现在上层，不能把它向下延伸成不存在的基础柱。</x:v>
      </x:c>
      <x:c r="O268" s="6" t="str">
        <x:v>转换梁中点Uz、上层中柱轴力；附与数值一致的模型/结果图。</x:v>
      </x:c>
      <x:c r="P268" s="6" t="str">
        <x:v>模型核对：缺上层中柱改为缺下层中柱，形成上柱通过转换梁传力的拓扑。；数值/表述核对：转换梁中点Uz、上层中柱轴力，位置、方向、单位须一致。</x:v>
      </x:c>
      <x:c r="Q268" s="19" t="str">
        <x:v>新增</x:v>
      </x:c>
      <x:c r="R268" s="6" t="str">
        <x:v>无</x:v>
      </x:c>
      <x:c r="S268" s="6" t="str">
        <x:v>无</x:v>
      </x:c>
      <x:c r="T268" s="6" t="str">
        <x:v>独立模型相对原场景的变化：缺上层中柱改为缺下层中柱，形成上柱通过转换梁传力的拓扑。旧附件须按本模型重绘，旧数值仅作对照。</x:v>
      </x:c>
      <x:c r="U268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8" s="6" t="str">
        <x:v>机构与连通性需独立验证；本题新增几何/属性与真值均待独立核验；材料截面代号须在本题附录定值。</x:v>
      </x:c>
      <x:c r="W268" s="6" t="str">
        <x:v>规划，待编题与验证</x:v>
      </x:c>
      <x:c r="X268" s="6" t="str">
        <x:v>OpenSees（按本题杆系与自由度建模的主选；现有工具链仍须逐题验证）。</x:v>
      </x:c>
      <x:c r="Y268" s="19" t="str">
        <x:v>OpenSees</x:v>
      </x:c>
      <x:c r="Z268" s="6" t="str">
        <x:v>下层无中柱的转换框架为平面梁/刚架的直接力学建模与关键响应校核，规划OpenSees按实际杆段和约束组织分析；中柱只出现在上层，不能把它向下延伸成不存在的基础柱。</x:v>
      </x:c>
      <x:c r="AA268" s="6" t="str">
        <x:v>转换梁中点接上层中柱而不向下延伸，先查连通与机构；执行后按原题完整输出：转换梁中点Uz、上层中柱轴力；附与数值一致的模型/结果图。本轮仅规划，不运行。</x:v>
      </x:c>
      <x:c r="AB268" s="6" t="str">
        <x:v>待逐题验证</x:v>
      </x:c>
      <x:c r="AC268" s="6" t="str">
        <x:v>尚未确认本题可通过；接口/求解/读回预检重点：转换梁中点接上层中柱而不向下延伸，先查连通与机构。特殊单元、轴向、边界及组合均不因OpenSees原生支持而视作已接通。</x:v>
      </x:c>
      <x:c r="AD268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两层实际梁均向下10kN/m；未指定组合时仅算题定基本荷载，指定组合逐组执行，不能用软件默认包络替换。</x:v>
      </x:c>
      <x:c r="AE26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8" s="6" t="str">
        <x:v>OPS；COMMON</x:v>
      </x:c>
    </x:row>
    <x:row r="269" ht="94.5" customHeight="1">
      <x:c r="A269" s="14" t="str">
        <x:v>MM-068</x:v>
      </x:c>
      <x:c r="B269" s="11" t="str">
        <x:v>多模态逆向建模</x:v>
      </x:c>
      <x:c r="C269" s="18" t="str">
        <x:v>M-MM-068</x:v>
      </x:c>
      <x:c r="D269" s="11" t="str">
        <x:v>柱脚不等标高钢框架：工程标注图</x:v>
      </x:c>
      <x:c r="E269" s="11" t="str">
        <x:v>平面钢框架</x:v>
      </x:c>
      <x:c r="F269" s="18" t="str">
        <x:v>2D</x:v>
      </x:c>
      <x:c r="G269" s="11" t="str">
        <x:v>工程标注图</x:v>
      </x:c>
      <x:c r="H269" s="18" t="str">
        <x:v>L2</x:v>
      </x:c>
      <x:c r="I269" s="11" t="str">
        <x:v>左右柱脚标高不同，层高不能用同一数值统一覆盖。</x:v>
      </x:c>
      <x:c r="J269" s="18" t="str">
        <x:v>英文</x:v>
      </x:c>
      <x:c r="K269" s="11" t="str">
        <x:v>新工程PNG的总图/局部详图给本题几何、连接、支承和荷载位置；图中构件索引关联完整属性表，正文不重述拓扑。所有新附件待制作、盲审与验证。</x:v>
      </x:c>
      <x:c r="L269" s="22" t="n">
        <x:v>1</x:v>
      </x:c>
      <x:c r="M269" s="11" t="str">
        <x:v>几何：两层单跨6m，楼层绝对标高2.1、5.7m；左柱底z=-1.5m、右柱底z=0m，两柱楼层连接点同标高；边界：两个实际柱底固定；荷载：两楼层梁向下10kN/m；属性：M1、柱C1、梁B1。（本栏是编题规格，实际用户输入按图/表分工呈现。）</x:v>
      </x:c>
      <x:c r="N269" s="11" t="str">
        <x:v>左右柱脚标高不同，层高不能用同一数值统一覆盖。</x:v>
      </x:c>
      <x:c r="O269" s="11" t="str">
        <x:v>顶层左节点Ux、两底柱弯矩；附与数值一致的模型/结果图。</x:v>
      </x:c>
      <x:c r="P269" s="11" t="str">
        <x:v>模型核对：同一负基础标高改为左右基础错高，底层柱长与刚度不同。；数值/表述核对：顶层左节点Ux、两底柱弯矩，位置、方向、单位须一致。</x:v>
      </x:c>
      <x:c r="Q269" s="18" t="str">
        <x:v>新增</x:v>
      </x:c>
      <x:c r="R269" s="11" t="str">
        <x:v>无</x:v>
      </x:c>
      <x:c r="S269" s="11" t="str">
        <x:v>无</x:v>
      </x:c>
      <x:c r="T269" s="11" t="str">
        <x:v>独立模型相对原场景的变化：同一负基础标高改为左右基础错高，底层柱长与刚度不同。旧附件须按本模型重绘，旧数值仅作对照。</x:v>
      </x:c>
      <x:c r="U269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69" s="11" t="str">
        <x:v>基础工具；本题新增几何/属性与真值均待独立核验；材料截面代号须在本题附录定值。</x:v>
      </x:c>
      <x:c r="W269" s="11" t="str">
        <x:v>规划，待编题与验证</x:v>
      </x:c>
      <x:c r="X269" s="11" t="str">
        <x:v>OpenSees（按本题杆系与自由度建模的主选；现有工具链仍须逐题验证）。</x:v>
      </x:c>
      <x:c r="Y269" s="18" t="str">
        <x:v>OpenSees</x:v>
      </x:c>
      <x:c r="Z269" s="11" t="str">
        <x:v>柱脚不等标高钢框架为平面梁/刚架的直接力学建模与关键响应校核，规划OpenSees按实际杆段和约束组织分析；左右柱脚标高不同，层高不能用同一数值统一覆盖。</x:v>
      </x:c>
      <x:c r="AA269" s="11" t="str">
        <x:v>两个真实柱底标高各自固定，不以统一层高归零覆盖；执行后按原题完整输出：顶层左节点Ux、两底柱弯矩；附与数值一致的模型/结果图。本轮仅规划，不运行。</x:v>
      </x:c>
      <x:c r="AB269" s="11" t="str">
        <x:v>待逐题验证</x:v>
      </x:c>
      <x:c r="AC269" s="11" t="str">
        <x:v>尚未确认本题可通过；接口/求解/读回预检重点：两个真实柱底标高各自固定，不以统一层高归零覆盖。特殊单元、轴向、边界及组合均不因OpenSees原生支持而视作已接通。</x:v>
      </x:c>
      <x:c r="AD269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两楼层梁向下10kN/m；未指定组合时仅算题定基本荷载，指定组合逐组执行，不能用软件默认包络替换。</x:v>
      </x:c>
      <x:c r="AE26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69" s="11" t="str">
        <x:v>OPS；COMMON</x:v>
      </x:c>
    </x:row>
    <x:row r="270" ht="108" customHeight="1">
      <x:c r="A270" s="15" t="str">
        <x:v>MM-069</x:v>
      </x:c>
      <x:c r="B270" s="6" t="str">
        <x:v>多模态逆向建模</x:v>
      </x:c>
      <x:c r="C270" s="19" t="str">
        <x:v>M-MM-069</x:v>
      </x:c>
      <x:c r="D270" s="6" t="str">
        <x:v>首层双侧阳台悬挑混凝土框架：工程标注图</x:v>
      </x:c>
      <x:c r="E270" s="6" t="str">
        <x:v>平面混凝土框架</x:v>
      </x:c>
      <x:c r="F270" s="19" t="str">
        <x:v>2D</x:v>
      </x:c>
      <x:c r="G270" s="6" t="str">
        <x:v>工程标注图</x:v>
      </x:c>
      <x:c r="H270" s="19" t="str">
        <x:v>L3</x:v>
      </x:c>
      <x:c r="I270" s="6" t="str">
        <x:v>首层两个外挑端不对应附加柱，悬段截面与主梁不同。</x:v>
      </x:c>
      <x:c r="J270" s="19" t="str">
        <x:v>中文</x:v>
      </x:c>
      <x:c r="K270" s="6" t="str">
        <x:v>新工程PNG的总图/局部详图给本题几何、连接、支承和荷载位置；图中构件索引关联完整属性表，正文不重述拓扑。所有新附件待制作、盲审与验证。</x:v>
      </x:c>
      <x:c r="L270" s="23" t="n">
        <x:v>1</x:v>
      </x:c>
      <x:c r="M270" s="6" t="str">
        <x:v>几何：两层单跨6m、每层3.6m；首层梁向左及右各外伸1.2m，顶层梁仅主跨；边界：两柱脚固定、梁柱刚接；荷载：两层主梁向下72kN/m，左右首层悬段分别向下15、20kN/m；属性：C30弹性材料，柱500×500mm，主梁300×600mm，悬段梁250×500mm。（本栏是编题规格，实际用户输入按图/表分工呈现。）</x:v>
      </x:c>
      <x:c r="N270" s="6" t="str">
        <x:v>首层两个外挑端不对应附加柱，悬段截面与主梁不同。</x:v>
      </x:c>
      <x:c r="O270" s="6" t="str">
        <x:v>两悬挑端Uz、首层右根部弯矩；附与数值一致的模型/结果图。</x:v>
      </x:c>
      <x:c r="P270" s="6" t="str">
        <x:v>模型核对：规则混凝土框架新增首层双侧阳台悬挑及不对称加载。；数值/表述核对：两悬挑端Uz、首层右根部弯矩，位置、方向、单位须一致。</x:v>
      </x:c>
      <x:c r="Q270" s="19" t="str">
        <x:v>新增</x:v>
      </x:c>
      <x:c r="R270" s="6" t="str">
        <x:v>无</x:v>
      </x:c>
      <x:c r="S270" s="6" t="str">
        <x:v>无</x:v>
      </x:c>
      <x:c r="T270" s="6" t="str">
        <x:v>独立模型相对原场景的变化：规则混凝土框架新增首层双侧阳台悬挑及不对称加载。旧附件须按本模型重绘，旧数值仅作对照。基础来源：concrete-frame-2story-static。</x:v>
      </x:c>
      <x:c r="U270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0" s="6" t="str">
        <x:v>基础工具；本题新增几何/属性与真值均待独立核验；材料截面代号须在本题附录定值。</x:v>
      </x:c>
      <x:c r="W270" s="6" t="str">
        <x:v>规划，待编题与验证</x:v>
      </x:c>
      <x:c r="X270" s="6" t="str">
        <x:v>OpenSees（按本题杆系与自由度建模的主选；现有工具链仍须逐题验证）。</x:v>
      </x:c>
      <x:c r="Y270" s="19" t="str">
        <x:v>OpenSees</x:v>
      </x:c>
      <x:c r="Z270" s="6" t="str">
        <x:v>首层双侧阳台悬挑混凝土框架为平面梁/刚架的直接力学建模与关键响应校核，规划OpenSees按实际杆段和约束组织分析；首层两个外挑端不对应附加柱，悬段截面与主梁不同。</x:v>
      </x:c>
      <x:c r="AA270" s="6" t="str">
        <x:v>两首层悬段保持真实梁及各自荷载，混凝土按题定弹性E/I处理；执行后按原题完整输出：两悬挑端Uz、首层右根部弯矩；附与数值一致的模型/结果图。本轮仅规划，不运行。</x:v>
      </x:c>
      <x:c r="AB270" s="6" t="str">
        <x:v>待逐题验证</x:v>
      </x:c>
      <x:c r="AC270" s="6" t="str">
        <x:v>尚未确认本题可通过；接口/求解/读回预检重点：两首层悬段保持真实梁及各自荷载，混凝土按题定弹性E/I处理。特殊单元、轴向、边界及组合均不因OpenSees原生支持而视作已接通。</x:v>
      </x:c>
      <x:c r="AD270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两层主梁向下72kN/m，左右首层悬段分别向下15、20kN/m；未指定组合时仅算题定基本荷载，指定组合逐组执行，不能用软件默认包络替换。</x:v>
      </x:c>
      <x:c r="AE270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0" s="6" t="str">
        <x:v>OPS；COMMON</x:v>
      </x:c>
    </x:row>
    <x:row r="271" ht="94.5" customHeight="1">
      <x:c r="A271" s="14" t="str">
        <x:v>MM-070</x:v>
      </x:c>
      <x:c r="B271" s="11" t="str">
        <x:v>多模态逆向建模</x:v>
      </x:c>
      <x:c r="C271" s="18" t="str">
        <x:v>M-MM-070</x:v>
      </x:c>
      <x:c r="D271" s="11" t="str">
        <x:v>中层斜柱混凝土框架：图表联合</x:v>
      </x:c>
      <x:c r="E271" s="11" t="str">
        <x:v>平面混凝土框架</x:v>
      </x:c>
      <x:c r="F271" s="18" t="str">
        <x:v>2D</x:v>
      </x:c>
      <x:c r="G271" s="11" t="str">
        <x:v>图表联合</x:v>
      </x:c>
      <x:c r="H271" s="18" t="str">
        <x:v>L3</x:v>
      </x:c>
      <x:c r="I271" s="11" t="str">
        <x:v>左柱在第二层倾斜且上两层跨度变小，不能按竖直柱阵列。</x:v>
      </x:c>
      <x:c r="J271" s="18" t="str">
        <x:v>英文</x:v>
      </x:c>
      <x:c r="K271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71" s="22" t="n">
        <x:v>1</x:v>
      </x:c>
      <x:c r="M271" s="11" t="str">
        <x:v>几何：三层标高3.3、6.6、9.9m；右柱始终x=6m；左柱底至首层x=0m，第二层斜接到x=1m，第三层保持x=1m；各层左右柱顶间设梁；边界：两底柱脚固定；荷载：各梁按实际长度向下60kN/m；属性：C35、柱500×500mm、梁300×600mm。（本栏是编题规格，实际用户输入按图/表分工呈现。）</x:v>
      </x:c>
      <x:c r="N271" s="11" t="str">
        <x:v>左柱在第二层倾斜且上两层跨度变小，不能按竖直柱阵列。</x:v>
      </x:c>
      <x:c r="O271" s="11" t="str">
        <x:v>斜柱上端Ux/Uz、左底柱弯矩；附与数值一致的模型/结果图。</x:v>
      </x:c>
      <x:c r="P271" s="11" t="str">
        <x:v>模型核对：普通直柱单跨框架改为中层斜柱与上层缩跨。；数值/表述核对：斜柱上端Ux/Uz、左底柱弯矩，位置、方向、单位须一致。</x:v>
      </x:c>
      <x:c r="Q271" s="18" t="str">
        <x:v>新增</x:v>
      </x:c>
      <x:c r="R271" s="11" t="str">
        <x:v>无</x:v>
      </x:c>
      <x:c r="S271" s="11" t="str">
        <x:v>无</x:v>
      </x:c>
      <x:c r="T271" s="11" t="str">
        <x:v>独立模型相对原场景的变化：普通直柱单跨框架改为中层斜柱与上层缩跨。旧附件须按本模型重绘，旧数值仅作对照。基础来源：concrete-frame-3story-opensees-static-en。</x:v>
      </x:c>
      <x:c r="U271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1" s="11" t="str">
        <x:v>基础工具；本题新增几何/属性与真值均待独立核验；材料截面代号须在本题附录定值。斜杆全局荷载和局部轴适配待验证。</x:v>
      </x:c>
      <x:c r="W271" s="11" t="str">
        <x:v>规划，待编题与验证</x:v>
      </x:c>
      <x:c r="X271" s="11" t="str">
        <x:v>OpenSees（按本题杆系与自由度建模的主选；现有工具链仍须逐题验证）。</x:v>
      </x:c>
      <x:c r="Y271" s="18" t="str">
        <x:v>OpenSees</x:v>
      </x:c>
      <x:c r="Z271" s="11" t="str">
        <x:v>中层斜柱混凝土框架为平面梁/刚架的直接力学建模与关键响应校核，规划OpenSees按实际杆段和约束组织分析；左柱在第二层倾斜且上两层跨度变小，不能按竖直柱阵列。</x:v>
      </x:c>
      <x:c r="AA271" s="11" t="str">
        <x:v>中层斜柱真实建模，不能用水平刚臂或竖柱替换；核对局部轴；执行后按原题完整输出：斜柱上端Ux/Uz、左底柱弯矩；附与数值一致的模型/结果图。本轮仅规划，不运行。</x:v>
      </x:c>
      <x:c r="AB271" s="11" t="str">
        <x:v>待逐题验证</x:v>
      </x:c>
      <x:c r="AC271" s="11" t="str">
        <x:v>尚未确认本题可通过；接口/求解/读回预检重点：中层斜柱真实建模，不能用水平刚臂或竖柱替换；核对局部轴。特殊单元、轴向、边界及组合均不因OpenSees原生支持而视作已接通。</x:v>
      </x:c>
      <x:c r="AD271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各梁按实际长度向下60kN/m；未指定组合时仅算题定基本荷载，指定组合逐组执行，不能用软件默认包络替换。</x:v>
      </x:c>
      <x:c r="AE271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1" s="11" t="str">
        <x:v>OPS；COMMON</x:v>
      </x:c>
    </x:row>
    <x:row r="272" ht="108" customHeight="1">
      <x:c r="A272" s="15" t="str">
        <x:v>MM-071</x:v>
      </x:c>
      <x:c r="B272" s="6" t="str">
        <x:v>多模态逆向建模</x:v>
      </x:c>
      <x:c r="C272" s="19" t="str">
        <x:v>M-MM-071</x:v>
      </x:c>
      <x:c r="D272" s="6" t="str">
        <x:v>中央跨首层无载的三跨混凝土框架：工程标注图</x:v>
      </x:c>
      <x:c r="E272" s="6" t="str">
        <x:v>平面混凝土框架</x:v>
      </x:c>
      <x:c r="F272" s="19" t="str">
        <x:v>2D</x:v>
      </x:c>
      <x:c r="G272" s="6" t="str">
        <x:v>工程标注图</x:v>
      </x:c>
      <x:c r="H272" s="19" t="str">
        <x:v>L2</x:v>
      </x:c>
      <x:c r="I272" s="6" t="str">
        <x:v>首层中间空白是无载跨而不是缺梁，三跨节点要完整保留。</x:v>
      </x:c>
      <x:c r="J272" s="19" t="str">
        <x:v>中文</x:v>
      </x:c>
      <x:c r="K272" s="6" t="str">
        <x:v>新工程PNG的总图/局部详图给本题几何、连接、支承和荷载位置；图中构件索引关联完整属性表，正文不重述拓扑。所有新附件待制作、盲审与验证。</x:v>
      </x:c>
      <x:c r="L272" s="23" t="n">
        <x:v>1</x:v>
      </x:c>
      <x:c r="M272" s="6" t="str">
        <x:v>几何：两层各3.6m、三跨4、6、4m，四根柱线完整；边界：四柱脚固定，梁柱刚接；荷载：首层两外跨向下10kN/m、中央跨无载，顶层三梁均向下12kN/m；属性：C30、柱500×500mm、梁300×600mm。（本栏是编题规格，实际用户输入按图/表分工呈现。）</x:v>
      </x:c>
      <x:c r="N272" s="6" t="str">
        <x:v>首层中间空白是无载跨而不是缺梁，三跨节点要完整保留。</x:v>
      </x:c>
      <x:c r="O272" s="6" t="str">
        <x:v>首层中央跨中点Uz、第二根底柱轴力；附与数值一致的模型/结果图。</x:v>
      </x:c>
      <x:c r="P272" s="6" t="str">
        <x:v>模型核对：两跨规则模型改为三跨，新增无载中央跨与上下层不同载荷区域。；数值/表述核对：首层中央跨中点Uz、第二根底柱轴力，位置、方向、单位须一致。</x:v>
      </x:c>
      <x:c r="Q272" s="19" t="str">
        <x:v>新增</x:v>
      </x:c>
      <x:c r="R272" s="6" t="str">
        <x:v>无</x:v>
      </x:c>
      <x:c r="S272" s="6" t="str">
        <x:v>无</x:v>
      </x:c>
      <x:c r="T272" s="6" t="str">
        <x:v>独立模型相对原场景的变化：两跨规则模型改为三跨，新增无载中央跨与上下层不同载荷区域。旧附件须按本模型重绘，旧数值仅作对照。基础来源：robust-update-concrete-material。</x:v>
      </x:c>
      <x:c r="U272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2" s="6" t="str">
        <x:v>基础工具；本题新增几何/属性与真值均待独立核验；材料截面代号须在本题附录定值。</x:v>
      </x:c>
      <x:c r="W272" s="6" t="str">
        <x:v>规划，待编题与验证</x:v>
      </x:c>
      <x:c r="X272" s="6" t="str">
        <x:v>OpenSees（按本题杆系与自由度建模的主选；现有工具链仍须逐题验证）。</x:v>
      </x:c>
      <x:c r="Y272" s="19" t="str">
        <x:v>OpenSees</x:v>
      </x:c>
      <x:c r="Z272" s="6" t="str">
        <x:v>中央跨首层无载的三跨混凝土框架为平面梁/刚架的直接力学建模与关键响应校核，规划OpenSees按实际杆段和约束组织分析；首层中间空白是无载跨而不是缺梁，三跨节点要完整保留。</x:v>
      </x:c>
      <x:c r="AA272" s="6" t="str">
        <x:v>首层中央无载梁仍存在，按三跨四柱真实建图和出结果；执行后按原题完整输出：首层中央跨中点Uz、第二根底柱轴力；附与数值一致的模型/结果图。本轮仅规划，不运行。</x:v>
      </x:c>
      <x:c r="AB272" s="6" t="str">
        <x:v>待逐题验证</x:v>
      </x:c>
      <x:c r="AC272" s="6" t="str">
        <x:v>尚未确认本题可通过；接口/求解/读回预检重点：首层中央无载梁仍存在，按三跨四柱真实建图和出结果。特殊单元、轴向、边界及组合均不因OpenSees原生支持而视作已接通。</x:v>
      </x:c>
      <x:c r="AD272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首层两外跨向下10kN/m、中央跨无载，顶层三梁均向下12kN/m；未指定组合时仅算题定基本荷载，指定组合逐组执行，不能用软件默认包络替换。</x:v>
      </x:c>
      <x:c r="AE272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2" s="6" t="str">
        <x:v>OPS；COMMON</x:v>
      </x:c>
    </x:row>
    <x:row r="273" ht="94.5" customHeight="1">
      <x:c r="A273" s="14" t="str">
        <x:v>MM-072</x:v>
      </x:c>
      <x:c r="B273" s="11" t="str">
        <x:v>多模态逆向建模</x:v>
      </x:c>
      <x:c r="C273" s="18" t="str">
        <x:v>M-MM-072</x:v>
      </x:c>
      <x:c r="D273" s="11" t="str">
        <x:v>左右错层混凝土框架缺尺寸补全：缺失/质量澄清</x:v>
      </x:c>
      <x:c r="E273" s="11" t="str">
        <x:v>平面混凝土框架</x:v>
      </x:c>
      <x:c r="F273" s="18" t="str">
        <x:v>2D</x:v>
      </x:c>
      <x:c r="G273" s="11" t="str">
        <x:v>缺失/质量澄清</x:v>
      </x:c>
      <x:c r="H273" s="18" t="str">
        <x:v>L3</x:v>
      </x:c>
      <x:c r="I273" s="11" t="str">
        <x:v>共用中柱每层有两个梁连接标高，先确认唯一缺失错层值。</x:v>
      </x:c>
      <x:c r="J273" s="18" t="str">
        <x:v>英文</x:v>
      </x:c>
      <x:c r="K273" s="11" t="str">
        <x:v>第1轮PNG隐藏右跨0.5m错层高差，同时不提供右跨绝对标高或可反推高差的尺寸；左跨信息完整。第2轮补充高差0.5m及完整立面。材料截面与其余求解设置完整另附。所有新附件待制作、盲审与验证。</x:v>
      </x:c>
      <x:c r="L273" s="22" t="n">
        <x:v>2</x:v>
      </x:c>
      <x:c r="M273" s="11" t="str">
        <x:v>几何：柱线x=0、5、12m；左跨梁标高3.3、7.3、10.4m，右跨梁标高分别高0.5m；中柱在每个左右梁标高均设连接节点，外柱到各自顶层；边界：三柱脚固定；荷载：所有实际梁向下10kN/m；属性：C30、柱500×500mm、梁300×600mm；首轮遮蔽右跨错层高差，第二轮补0.5m。（本栏是编题规格，实际用户输入按图/表分工呈现。）</x:v>
      </x:c>
      <x:c r="N273" s="11" t="str">
        <x:v>共用中柱每层有两个梁连接标高，先确认唯一缺失错层值。</x:v>
      </x:c>
      <x:c r="O273" s="11" t="str">
        <x:v>补全后左右顶梁中点Uz、中柱中部短段弯矩；附与数值一致的模型/结果图。</x:v>
      </x:c>
      <x:c r="P273" s="11" t="str">
        <x:v>模型核对：同标高不等层高框架改成每层左右错层，新增中柱短段。；数值/表述核对：补全后左右顶梁中点Uz、中柱中部短段弯矩，位置、方向、单位须一致。首轮另查澄清是否针对指定缺项；允许有证据的正确推导。</x:v>
      </x:c>
      <x:c r="Q273" s="18" t="str">
        <x:v>旧题改编</x:v>
      </x:c>
      <x:c r="R273" s="11" t="str">
        <x:v>image-incomplete-dimensions</x:v>
      </x:c>
      <x:c r="S273" s="11" t="str">
        <x:v>无</x:v>
      </x:c>
      <x:c r="T273" s="11" t="str">
        <x:v>独立模型相对原场景的变化：同标高不等层高框架改成每层左右错层，新增中柱短段。旧附件须按本模型重绘，旧数值仅作对照。多模态机制来源：image-incomplete-dimensions。</x:v>
      </x:c>
      <x:c r="U273" s="11" t="str">
        <x:v>独立建立并复核OpenSees参考模型，固定版本/求解设置及观测位置；以独立模型审阅、整体平衡及构件端力/节点结果一致性校核。不把展示层插值或图像读数直接当数值真值。首轮缺项/冲突仍只评价澄清；信息补齐后才执行最终模型并比对同一引擎参考。</x:v>
      </x:c>
      <x:c r="V273" s="11" t="str">
        <x:v>基础工具；本题新增几何/属性与真值均待独立核验；材料截面代号须在本题附录定值。</x:v>
      </x:c>
      <x:c r="W273" s="11" t="str">
        <x:v>规划，待编题与验证</x:v>
      </x:c>
      <x:c r="X273" s="11" t="str">
        <x:v>OpenSees（按本题杆系与自由度建模的主选；现有工具链仍须逐题验证）。</x:v>
      </x:c>
      <x:c r="Y273" s="18" t="str">
        <x:v>OpenSees</x:v>
      </x:c>
      <x:c r="Z273" s="11" t="str">
        <x:v>左右错层混凝土框架缺尺寸补全为平面梁/刚架的直接力学建模与关键响应校核，规划OpenSees按实际杆段和约束组织分析；共用中柱每层有两个梁连接标高，先确认唯一缺失错层值。</x:v>
      </x:c>
      <x:c r="AA273" s="11" t="str">
        <x:v>补清错层高差后按左右标高切分中柱，保留中部短段弯矩；执行后按原题完整输出：补全后左右顶梁中点Uz、中柱中部短段弯矩；附与数值一致的模型/结果图。本轮仅规划，不运行。</x:v>
      </x:c>
      <x:c r="AB273" s="11" t="str">
        <x:v>待逐题验证</x:v>
      </x:c>
      <x:c r="AC273" s="11" t="str">
        <x:v>尚未确认本题可通过；接口/求解/读回预检重点：补清错层高差后按左右标高切分中柱，保留中部短段弯矩。特殊单元、轴向、边界及组合均不因OpenSees原生支持而视作已接通。</x:v>
      </x:c>
      <x:c r="AD273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所有实际梁向下10kN/m；未指定组合时仅算题定基本荷载，指定组合逐组执行，不能用软件默认包络替换。</x:v>
      </x:c>
      <x:c r="AE27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3" s="11" t="str">
        <x:v>OPS；COMMON</x:v>
      </x:c>
    </x:row>
    <x:row r="274" ht="94.5" customHeight="1">
      <x:c r="A274" s="15" t="str">
        <x:v>MM-073</x:v>
      </x:c>
      <x:c r="B274" s="6" t="str">
        <x:v>多模态逆向建模</x:v>
      </x:c>
      <x:c r="C274" s="19" t="str">
        <x:v>M-MM-073</x:v>
      </x:c>
      <x:c r="D274" s="6" t="str">
        <x:v>分层混凝土材料加上层挑梁：图表联合</x:v>
      </x:c>
      <x:c r="E274" s="6" t="str">
        <x:v>平面混凝土框架</x:v>
      </x:c>
      <x:c r="F274" s="19" t="str">
        <x:v>2D</x:v>
      </x:c>
      <x:c r="G274" s="6" t="str">
        <x:v>图表联合</x:v>
      </x:c>
      <x:c r="H274" s="19" t="str">
        <x:v>L3</x:v>
      </x:c>
      <x:c r="I274" s="6" t="str">
        <x:v>材料分组由楼层和角色共同决定，悬段跟随顶层而非首层。</x:v>
      </x:c>
      <x:c r="J274" s="19" t="str">
        <x:v>中文</x:v>
      </x:c>
      <x:c r="K274" s="6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74" s="23" t="n">
        <x:v>1</x:v>
      </x:c>
      <x:c r="M274" s="6" t="str">
        <x:v>几何：两层各3.6m、两跨各6m；顶层梁从左柱向左再挑出1.5m；边界：三柱脚固定；荷载：主梁均向下10kN/m，顶层悬段向下8kN/m；属性：柱C40、首层梁C30、顶层梁及悬段C35；柱500×500mm，主梁300×600mm，悬段250×500mm，三材料完整弹性记录另附。（本栏是编题规格，实际用户输入按图/表分工呈现。）</x:v>
      </x:c>
      <x:c r="N274" s="6" t="str">
        <x:v>材料分组由楼层和角色共同决定，悬段跟随顶层而非首层。</x:v>
      </x:c>
      <x:c r="O274" s="6" t="str">
        <x:v>顶层悬端Uz、左底柱轴力；附与数值一致的模型/结果图。</x:v>
      </x:c>
      <x:c r="P274" s="6" t="str">
        <x:v>模型核对：梁柱两材料改为三种分层材料，并新增顶层悬挑构件。；数值/表述核对：顶层悬端Uz、左底柱轴力，位置、方向、单位须一致。</x:v>
      </x:c>
      <x:c r="Q274" s="19" t="str">
        <x:v>新增</x:v>
      </x:c>
      <x:c r="R274" s="6" t="str">
        <x:v>无</x:v>
      </x:c>
      <x:c r="S274" s="6" t="str">
        <x:v>无</x:v>
      </x:c>
      <x:c r="T274" s="6" t="str">
        <x:v>独立模型相对原场景的变化：梁柱两材料改为三种分层材料，并新增顶层悬挑构件。旧附件须按本模型重绘，旧数值仅作对照。</x:v>
      </x:c>
      <x:c r="U274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4" s="6" t="str">
        <x:v>基础工具；本题新增几何/属性与真值均待独立核验；材料截面代号须在本题附录定值。</x:v>
      </x:c>
      <x:c r="W274" s="6" t="str">
        <x:v>规划，待编题与验证</x:v>
      </x:c>
      <x:c r="X274" s="6" t="str">
        <x:v>OpenSees（按本题杆系与自由度建模的主选；现有工具链仍须逐题验证）。</x:v>
      </x:c>
      <x:c r="Y274" s="19" t="str">
        <x:v>OpenSees</x:v>
      </x:c>
      <x:c r="Z274" s="6" t="str">
        <x:v>分层混凝土材料加上层挑梁为平面梁/刚架的直接力学建模与关键响应校核，规划OpenSees按实际杆段和约束组织分析；材料分组由楼层和角色共同决定，悬段跟随顶层而非首层。</x:v>
      </x:c>
      <x:c r="AA274" s="6" t="str">
        <x:v>三种混凝土弹性记录按层/角色分配，顶层悬段与首层材料不得混同；执行后按原题完整输出：顶层悬端Uz、左底柱轴力；附与数值一致的模型/结果图。本轮仅规划，不运行。</x:v>
      </x:c>
      <x:c r="AB274" s="6" t="str">
        <x:v>待逐题验证</x:v>
      </x:c>
      <x:c r="AC274" s="6" t="str">
        <x:v>尚未确认本题可通过；接口/求解/读回预检重点：三种混凝土弹性记录按层/角色分配，顶层悬段与首层材料不得混同。特殊单元、轴向、边界及组合均不因OpenSees原生支持而视作已接通。</x:v>
      </x:c>
      <x:c r="AD274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主梁均向下10kN/m，顶层悬段向下8kN/m；未指定组合时仅算题定基本荷载，指定组合逐组执行，不能用软件默认包络替换。</x:v>
      </x:c>
      <x:c r="AE27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4" s="6" t="str">
        <x:v>OPS；COMMON</x:v>
      </x:c>
    </x:row>
    <x:row r="275" ht="94.5" customHeight="1">
      <x:c r="A275" s="14" t="str">
        <x:v>MM-074</x:v>
      </x:c>
      <x:c r="B275" s="11" t="str">
        <x:v>多模态逆向建模</x:v>
      </x:c>
      <x:c r="C275" s="18" t="str">
        <x:v>M-MM-074</x:v>
      </x:c>
      <x:c r="D275" s="11" t="str">
        <x:v>三列柱不同截面朝向框架：多视图重建</x:v>
      </x:c>
      <x:c r="E275" s="11" t="str">
        <x:v>平面混凝土框架</x:v>
      </x:c>
      <x:c r="F275" s="18" t="str">
        <x:v>2D</x:v>
      </x:c>
      <x:c r="G275" s="11" t="str">
        <x:v>多视图重建</x:v>
      </x:c>
      <x:c r="H275" s="18" t="str">
        <x:v>L3</x:v>
      </x:c>
      <x:c r="I275" s="11" t="str">
        <x:v>截面详图需映射到左/中/右柱，朝向不能由尺寸顺序猜测。</x:v>
      </x:c>
      <x:c r="J275" s="18" t="str">
        <x:v>英文</x:v>
      </x:c>
      <x:c r="K275" s="11" t="str">
        <x:v>新框架立面PNG给2D几何与连接；柱截面朝向详图给左右柱强弱轴及中柱方截面，构件标签关联完整局部轴/惯性矩属性表；附录给约束和荷载，不直接给完整节点坐标答案。所有新附件待制作、盲审与验证。</x:v>
      </x:c>
      <x:c r="L275" s="22" t="n">
        <x:v>1</x:v>
      </x:c>
      <x:c r="M275" s="11" t="str">
        <x:v>几何：两层各3.6m，两跨7、4m，三柱线完整；边界：三柱脚固定；荷载：所有梁向下12kN/m，顶层右节点Fx=25kN；属性：C30；左柱矩形400×700mm强轴在XZ面，右柱同矩形旋转90度，中柱500×500mm，梁300×600mm，完整局部轴和惯性矩表另附。（本栏是编题规格，实际用户输入按图/表分工呈现。）</x:v>
      </x:c>
      <x:c r="N275" s="11" t="str">
        <x:v>截面详图需映射到左/中/右柱，朝向不能由尺寸顺序猜测。</x:v>
      </x:c>
      <x:c r="O275" s="11" t="str">
        <x:v>顶层右节点Ux、左右底柱弯矩；附与数值一致的模型/结果图。</x:v>
      </x:c>
      <x:c r="P275" s="11" t="str">
        <x:v>模型核对：两柱单跨改三柱两跨，并增加方中柱与不同边柱朝向。；数值/表述核对：顶层右节点Ux、左右底柱弯矩，位置、方向、单位须一致。</x:v>
      </x:c>
      <x:c r="Q275" s="18" t="str">
        <x:v>新增</x:v>
      </x:c>
      <x:c r="R275" s="11" t="str">
        <x:v>无</x:v>
      </x:c>
      <x:c r="S275" s="11" t="str">
        <x:v>无</x:v>
      </x:c>
      <x:c r="T275" s="11" t="str">
        <x:v>独立模型相对原场景的变化：两柱单跨改三柱两跨，并增加方中柱与不同边柱朝向。旧附件须按本模型重绘，旧数值仅作对照。</x:v>
      </x:c>
      <x:c r="U275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5" s="11" t="str">
        <x:v>局部轴输入与适配需验证；本题新增几何/属性与真值均待独立核验；材料截面代号须在本题附录定值。</x:v>
      </x:c>
      <x:c r="W275" s="11" t="str">
        <x:v>规划，待编题与验证</x:v>
      </x:c>
      <x:c r="X275" s="11" t="str">
        <x:v>OpenSees（按本题杆系与自由度建模的主选；现有工具链仍须逐题验证）。</x:v>
      </x:c>
      <x:c r="Y275" s="18" t="str">
        <x:v>OpenSees</x:v>
      </x:c>
      <x:c r="Z275" s="11" t="str">
        <x:v>三列柱不同截面朝向框架为平面梁/刚架的直接力学建模与关键响应校核，规划OpenSees按实际杆段和约束组织分析；截面详图需映射到左/中/右柱，朝向不能由尺寸顺序猜测。</x:v>
      </x:c>
      <x:c r="AA275" s="11" t="str">
        <x:v>验证矩形柱局部轴与强弱轴惯性矩映射，平面弯矩符号统一；执行后按原题完整输出：顶层右节点Ux、左右底柱弯矩；附与数值一致的模型/结果图。本轮仅规划，不运行。</x:v>
      </x:c>
      <x:c r="AB275" s="11" t="str">
        <x:v>待逐题验证</x:v>
      </x:c>
      <x:c r="AC275" s="11" t="str">
        <x:v>尚未确认本题可通过；接口/求解/读回预检重点：验证矩形柱局部轴与强弱轴惯性矩映射，平面弯矩符号统一。特殊单元、轴向、边界及组合均不因OpenSees原生支持而视作已接通。</x:v>
      </x:c>
      <x:c r="AD275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所有梁向下12kN/m，顶层右节点Fx=25kN；未指定组合时仅算题定基本荷载，指定组合逐组执行，不能用软件默认包络替换。</x:v>
      </x:c>
      <x:c r="AE27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5" s="11" t="str">
        <x:v>OPS；COMMON</x:v>
      </x:c>
    </x:row>
    <x:row r="276" ht="94.5" customHeight="1">
      <x:c r="A276" s="15" t="str">
        <x:v>MM-075</x:v>
      </x:c>
      <x:c r="B276" s="6" t="str">
        <x:v>多模态逆向建模</x:v>
      </x:c>
      <x:c r="C276" s="19" t="str">
        <x:v>M-MM-075</x:v>
      </x:c>
      <x:c r="D276" s="6" t="str">
        <x:v>上层双翼中央缺梁混凝土框架：建筑DXF</x:v>
      </x:c>
      <x:c r="E276" s="6" t="str">
        <x:v>平面混凝土框架</x:v>
      </x:c>
      <x:c r="F276" s="19" t="str">
        <x:v>2D</x:v>
      </x:c>
      <x:c r="G276" s="6" t="str">
        <x:v>建筑DXF</x:v>
      </x:c>
      <x:c r="H276" s="19" t="str">
        <x:v>L3</x:v>
      </x:c>
      <x:c r="I276" s="6" t="str">
        <x:v>上层两翼之间的轴线不是梁，但两侧柱仍存在。</x:v>
      </x:c>
      <x:c r="J276" s="19" t="str">
        <x:v>中文</x:v>
      </x:c>
      <x:c r="K276" s="6" t="str">
        <x:v>新建筑DXF通过明确结构层提供本题几何/连接；围护/设备为干扰层；工程附录明确支座、荷载、属性和坐标映射，不把墙线默认成杆件或支座。所有新附件待制作、盲审与验证。</x:v>
      </x:c>
      <x:c r="L276" s="23" t="n">
        <x:v>1</x:v>
      </x:c>
      <x:c r="M276" s="6" t="str">
        <x:v>几何：两层各3.6m、柱线x=0、5、10、15m；四柱线均到顶，首层梁三跨齐全，顶层仅左右外跨设梁，中央跨无梁；边界：四底柱脚固定；荷载：首层梁向下10kN/m，顶层两外梁向下8kN/m；属性：C30、柱500×500mm、梁300×600mm。（本栏是编题规格，实际用户输入按图/表分工呈现。）</x:v>
      </x:c>
      <x:c r="N276" s="6" t="str">
        <x:v>上层两翼之间的轴线不是梁，但两侧柱仍存在。</x:v>
      </x:c>
      <x:c r="O276" s="6" t="str">
        <x:v>顶层两外跨中点Uz、内侧两底柱反力；附与数值一致的模型/结果图。</x:v>
      </x:c>
      <x:c r="P276" s="6" t="str">
        <x:v>模型核对：上层单侧退台改为中间缺梁、左右双翼保留，拓扑不同。；数值/表述核对：顶层两外跨中点Uz、内侧两底柱反力，位置、方向、单位须一致。</x:v>
      </x:c>
      <x:c r="Q276" s="19" t="str">
        <x:v>新增</x:v>
      </x:c>
      <x:c r="R276" s="6" t="str">
        <x:v>无</x:v>
      </x:c>
      <x:c r="S276" s="6" t="str">
        <x:v>无</x:v>
      </x:c>
      <x:c r="T276" s="6" t="str">
        <x:v>独立模型相对原场景的变化：上层单侧退台改为中间缺梁、左右双翼保留，拓扑不同。旧附件须按本模型重绘，旧数值仅作对照。</x:v>
      </x:c>
      <x:c r="U276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6" s="6" t="str">
        <x:v>基础工具；本题新增几何/属性与真值均待独立核验；材料截面代号须在本题附录定值。</x:v>
      </x:c>
      <x:c r="W276" s="6" t="str">
        <x:v>规划，待编题与验证</x:v>
      </x:c>
      <x:c r="X276" s="6" t="str">
        <x:v>OpenSees（按本题杆系与自由度建模的主选；现有工具链仍须逐题验证）。</x:v>
      </x:c>
      <x:c r="Y276" s="19" t="str">
        <x:v>OpenSees</x:v>
      </x:c>
      <x:c r="Z276" s="6" t="str">
        <x:v>上层双翼中央缺梁混凝土框架为平面梁/刚架的直接力学建模与关键响应校核，规划OpenSees按实际杆段和约束组织分析；上层两翼之间的轴线不是梁，但两侧柱仍存在。</x:v>
      </x:c>
      <x:c r="AA276" s="6" t="str">
        <x:v>顶层中央无梁而四柱完整，不能用退台删柱替代缺梁；执行后按原题完整输出：顶层两外跨中点Uz、内侧两底柱反力；附与数值一致的模型/结果图。本轮仅规划，不运行。</x:v>
      </x:c>
      <x:c r="AB276" s="6" t="str">
        <x:v>待逐题验证</x:v>
      </x:c>
      <x:c r="AC276" s="6" t="str">
        <x:v>尚未确认本题可通过；接口/求解/读回预检重点：顶层中央无梁而四柱完整，不能用退台删柱替代缺梁。特殊单元、轴向、边界及组合均不因OpenSees原生支持而视作已接通。</x:v>
      </x:c>
      <x:c r="AD276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首层梁向下10kN/m，顶层两外梁向下8kN/m；未指定组合时仅算题定基本荷载，指定组合逐组执行，不能用软件默认包络替换。</x:v>
      </x:c>
      <x:c r="AE27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6" s="6" t="str">
        <x:v>OPS；COMMON</x:v>
      </x:c>
    </x:row>
    <x:row r="277" ht="94.5" customHeight="1">
      <x:c r="A277" s="14" t="str">
        <x:v>MM-076</x:v>
      </x:c>
      <x:c r="B277" s="11" t="str">
        <x:v>多模态逆向建模</x:v>
      </x:c>
      <x:c r="C277" s="18" t="str">
        <x:v>M-MM-076</x:v>
      </x:c>
      <x:c r="D277" s="11" t="str">
        <x:v>中柱铰基与分层受荷宽度框架：图表联合</x:v>
      </x:c>
      <x:c r="E277" s="11" t="str">
        <x:v>平面混凝土框架</x:v>
      </x:c>
      <x:c r="F277" s="18" t="str">
        <x:v>2D</x:v>
      </x:c>
      <x:c r="G277" s="11" t="str">
        <x:v>图表联合</x:v>
      </x:c>
      <x:c r="H277" s="18" t="str">
        <x:v>L3</x:v>
      </x:c>
      <x:c r="I277" s="11" t="str">
        <x:v>受荷宽度按楼层和跨双重索引，中柱基础铰符号不能遗漏。</x:v>
      </x:c>
      <x:c r="J277" s="18" t="str">
        <x:v>英文</x:v>
      </x:c>
      <x:c r="K277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77" s="22" t="n">
        <x:v>1</x:v>
      </x:c>
      <x:c r="M277" s="11" t="str">
        <x:v>几何：两层各3.6m、两跨5、7m；边界：左右柱脚固定，中柱脚铰，梁柱刚接；荷载：楼面10kN/m²，首层左右受荷宽度4、6m，顶层左右宽度6、4m，仅折算后施加线载；属性：C30、柱500×500mm、梁300×600mm。（本栏是编题规格，实际用户输入按图/表分工呈现。）</x:v>
      </x:c>
      <x:c r="N277" s="11" t="str">
        <x:v>受荷宽度按楼层和跨双重索引，中柱基础铰符号不能遗漏。</x:v>
      </x:c>
      <x:c r="O277" s="11" t="str">
        <x:v>两层左梁中点Uz、中柱底反力；附与数值一致的模型/结果图。</x:v>
      </x:c>
      <x:c r="P277" s="11" t="str">
        <x:v>模型核对：统一固定基础改为中柱铰基，并形成上下层互换受荷宽度。；数值/表述核对：两层左梁中点Uz、中柱底反力，位置、方向、单位须一致。</x:v>
      </x:c>
      <x:c r="Q277" s="18" t="str">
        <x:v>新增</x:v>
      </x:c>
      <x:c r="R277" s="11" t="str">
        <x:v>无</x:v>
      </x:c>
      <x:c r="S277" s="11" t="str">
        <x:v>无</x:v>
      </x:c>
      <x:c r="T277" s="11" t="str">
        <x:v>独立模型相对原场景的变化：统一固定基础改为中柱铰基，并形成上下层互换受荷宽度。旧附件须按本模型重绘，旧数值仅作对照。</x:v>
      </x:c>
      <x:c r="U277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7" s="11" t="str">
        <x:v>基础工具；本题新增几何/属性与真值均待独立核验；材料截面代号须在本题附录定值。</x:v>
      </x:c>
      <x:c r="W277" s="11" t="str">
        <x:v>规划，待编题与验证</x:v>
      </x:c>
      <x:c r="X277" s="11" t="str">
        <x:v>OpenSees（按本题杆系与自由度建模的主选；现有工具链仍须逐题验证）。</x:v>
      </x:c>
      <x:c r="Y277" s="18" t="str">
        <x:v>OpenSees</x:v>
      </x:c>
      <x:c r="Z277" s="11" t="str">
        <x:v>中柱铰基与分层受荷宽度框架为平面梁/刚架的直接力学建模与关键响应校核，规划OpenSees按实际杆段和约束组织分析；受荷宽度按楼层和跨双重索引，中柱基础铰符号不能遗漏。</x:v>
      </x:c>
      <x:c r="AA277" s="11" t="str">
        <x:v>面载按逐层/逐跨受荷宽度只折算一次，中柱脚转角释放；执行后按原题完整输出：两层左梁中点Uz、中柱底反力；附与数值一致的模型/结果图。本轮仅规划，不运行。</x:v>
      </x:c>
      <x:c r="AB277" s="11" t="str">
        <x:v>待逐题验证</x:v>
      </x:c>
      <x:c r="AC277" s="11" t="str">
        <x:v>尚未确认本题可通过；接口/求解/读回预检重点：面载按逐层/逐跨受荷宽度只折算一次，中柱脚转角释放。特殊单元、轴向、边界及组合均不因OpenSees原生支持而视作已接通。</x:v>
      </x:c>
      <x:c r="AD277" s="11" t="str">
        <x:v>一阶线弹性；自重OFF并保存配置；按附录实际E/A/I/J，不套默认刚度折减；无默认刚性楼板。全局Z向上，核对XZ到求解器平面的映射及Ry符号。逐层/跨受荷宽度各自折算面载，原面载与线载不能重复；等效节点载须保持合力和力矩。荷载契约：楼面10kN/m²，首层左右受荷宽度4、6m，顶层左右宽度6、4m，仅折算后施加线载；未指定组合时仅算题定基本荷载，指定组合逐组执行，不能用软件默认包络替换。</x:v>
      </x:c>
      <x:c r="AE27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7" s="11" t="str">
        <x:v>OPS；COMMON</x:v>
      </x:c>
    </x:row>
    <x:row r="278" ht="94.5" customHeight="1">
      <x:c r="A278" s="15" t="str">
        <x:v>MM-077</x:v>
      </x:c>
      <x:c r="B278" s="6" t="str">
        <x:v>多模态逆向建模</x:v>
      </x:c>
      <x:c r="C278" s="19" t="str">
        <x:v>M-MM-077</x:v>
      </x:c>
      <x:c r="D278" s="6" t="str">
        <x:v>四层局部缺梁分段柱框架：工程标注图</x:v>
      </x:c>
      <x:c r="E278" s="6" t="str">
        <x:v>平面混凝土框架</x:v>
      </x:c>
      <x:c r="F278" s="19" t="str">
        <x:v>2D</x:v>
      </x:c>
      <x:c r="G278" s="6" t="str">
        <x:v>工程标注图</x:v>
      </x:c>
      <x:c r="H278" s="19" t="str">
        <x:v>L3</x:v>
      </x:c>
      <x:c r="I278" s="6" t="str">
        <x:v>层数、缺梁位置和柱截面分界同时由立面和表格指定。</x:v>
      </x:c>
      <x:c r="J278" s="19" t="str">
        <x:v>中文</x:v>
      </x:c>
      <x:c r="K278" s="6" t="str">
        <x:v>新工程PNG的总图/局部详图给本题几何、连接、支承和荷载位置；图中构件索引关联完整属性表，正文不重述拓扑。所有新附件待制作、盲审与验证。</x:v>
      </x:c>
      <x:c r="L278" s="23" t="n">
        <x:v>1</x:v>
      </x:c>
      <x:c r="M278" s="6" t="str">
        <x:v>几何：四层各3.3m、两跨各6m，三柱线完整；第二层右跨梁缺失，其余楼层两跨均有梁；边界：三柱脚固定；荷载：所有实际梁向下10kN/m；属性：C30，下两层柱600×600mm、上两层500×500mm，普通梁300×600mm、顶层梁250×500mm。（本栏是编题规格，实际用户输入按图/表分工呈现。）</x:v>
      </x:c>
      <x:c r="N278" s="6" t="str">
        <x:v>层数、缺梁位置和柱截面分界同时由立面和表格指定。</x:v>
      </x:c>
      <x:c r="O278" s="6" t="str">
        <x:v>顶层右节点Ux、第二层中柱弯矩；附与数值一致的模型/结果图。</x:v>
      </x:c>
      <x:c r="P278" s="6" t="str">
        <x:v>模型核对：三层变截面规则框架改为四层且第二层局部缺梁。；数值/表述核对：顶层右节点Ux、第二层中柱弯矩，位置、方向、单位须一致。</x:v>
      </x:c>
      <x:c r="Q278" s="19" t="str">
        <x:v>新增</x:v>
      </x:c>
      <x:c r="R278" s="6" t="str">
        <x:v>无</x:v>
      </x:c>
      <x:c r="S278" s="6" t="str">
        <x:v>无</x:v>
      </x:c>
      <x:c r="T278" s="6" t="str">
        <x:v>独立模型相对原场景的变化：三层变截面规则框架改为四层且第二层局部缺梁。旧附件须按本模型重绘，旧数值仅作对照。</x:v>
      </x:c>
      <x:c r="U278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8" s="6" t="str">
        <x:v>基础工具；本题新增几何/属性与真值均待独立核验；材料截面代号须在本题附录定值。</x:v>
      </x:c>
      <x:c r="W278" s="6" t="str">
        <x:v>规划，待编题与验证</x:v>
      </x:c>
      <x:c r="X278" s="6" t="str">
        <x:v>OpenSees（按本题杆系与自由度建模的主选；现有工具链仍须逐题验证）。</x:v>
      </x:c>
      <x:c r="Y278" s="19" t="str">
        <x:v>OpenSees</x:v>
      </x:c>
      <x:c r="Z278" s="6" t="str">
        <x:v>四层局部缺梁分段柱框架为平面梁/刚架的直接力学建模与关键响应校核，规划OpenSees按实际杆段和约束组织分析；层数、缺梁位置和柱截面分界同时由立面和表格指定。</x:v>
      </x:c>
      <x:c r="AA278" s="6" t="str">
        <x:v>第二层缺梁与上下柱截面分界分别控制；不生成统一重复标准层；执行后按原题完整输出：顶层右节点Ux、第二层中柱弯矩；附与数值一致的模型/结果图。本轮仅规划，不运行。</x:v>
      </x:c>
      <x:c r="AB278" s="6" t="str">
        <x:v>待逐题验证</x:v>
      </x:c>
      <x:c r="AC278" s="6" t="str">
        <x:v>尚未确认本题可通过；接口/求解/读回预检重点：第二层缺梁与上下柱截面分界分别控制；不生成统一重复标准层。特殊单元、轴向、边界及组合均不因OpenSees原生支持而视作已接通。</x:v>
      </x:c>
      <x:c r="AD278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所有实际梁向下10kN/m；未指定组合时仅算题定基本荷载，指定组合逐组执行，不能用软件默认包络替换。</x:v>
      </x:c>
      <x:c r="AE27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8" s="6" t="str">
        <x:v>OPS；COMMON</x:v>
      </x:c>
    </x:row>
    <x:row r="279" ht="108" customHeight="1">
      <x:c r="A279" s="14" t="str">
        <x:v>MM-078</x:v>
      </x:c>
      <x:c r="B279" s="11" t="str">
        <x:v>多模态逆向建模</x:v>
      </x:c>
      <x:c r="C279" s="18" t="str">
        <x:v>M-MM-078</x:v>
      </x:c>
      <x:c r="D279" s="11" t="str">
        <x:v>顶层挑梁受侧力混凝土框架：图表联合</x:v>
      </x:c>
      <x:c r="E279" s="11" t="str">
        <x:v>平面混凝土框架</x:v>
      </x:c>
      <x:c r="F279" s="18" t="str">
        <x:v>2D</x:v>
      </x:c>
      <x:c r="G279" s="11" t="str">
        <x:v>图表联合</x:v>
      </x:c>
      <x:c r="H279" s="18" t="str">
        <x:v>L3</x:v>
      </x:c>
      <x:c r="I279" s="11" t="str">
        <x:v>侧力在柱顶之外的悬端，正反工况需分别保存。</x:v>
      </x:c>
      <x:c r="J279" s="18" t="str">
        <x:v>英文</x:v>
      </x:c>
      <x:c r="K279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79" s="22" t="n">
        <x:v>1</x:v>
      </x:c>
      <x:c r="M279" s="11" t="str">
        <x:v>几何：三层各3.3m、单跨6m，顶梁向右外伸1m；边界：两柱脚固定；荷载：D三层主梁依次向下10、8、6kN/m，顶悬段向下4kN/m；W+仅顶悬端Fx=20kN，W-仅该端Fx=-20kN；组合D、D+W+、D+W-；属性：C30、柱500×500mm、主梁300×600mm、悬段250×500mm。（本栏是编题规格，实际用户输入按图/表分工呈现。）</x:v>
      </x:c>
      <x:c r="N279" s="11" t="str">
        <x:v>侧力在柱顶之外的悬端，正反工况需分别保存。</x:v>
      </x:c>
      <x:c r="O279" s="11" t="str">
        <x:v>三组合悬端Ux/Uz、右柱脚弯矩；附与数值一致的模型/结果图。</x:v>
      </x:c>
      <x:c r="P279" s="11" t="str">
        <x:v>模型核对：普通三层框架增顶层外伸构件，并将反向侧力放在悬端。；数值/表述核对：三组合悬端Ux/Uz、右柱脚弯矩，位置、方向、单位须一致。</x:v>
      </x:c>
      <x:c r="Q279" s="18" t="str">
        <x:v>新增</x:v>
      </x:c>
      <x:c r="R279" s="11" t="str">
        <x:v>无</x:v>
      </x:c>
      <x:c r="S279" s="11" t="str">
        <x:v>无</x:v>
      </x:c>
      <x:c r="T279" s="11" t="str">
        <x:v>独立模型相对原场景的变化：普通三层框架增顶层外伸构件，并将反向侧力放在悬端。旧附件须按本模型重绘，旧数值仅作对照。</x:v>
      </x:c>
      <x:c r="U279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79" s="11" t="str">
        <x:v>多组合执行契约需验证；本题新增几何/属性与真值均待独立核验；材料截面代号须在本题附录定值。</x:v>
      </x:c>
      <x:c r="W279" s="11" t="str">
        <x:v>规划，待编题与验证</x:v>
      </x:c>
      <x:c r="X279" s="11" t="str">
        <x:v>OpenSees（按本题杆系与自由度建模的主选；现有工具链仍须逐题验证）。</x:v>
      </x:c>
      <x:c r="Y279" s="18" t="str">
        <x:v>OpenSees</x:v>
      </x:c>
      <x:c r="Z279" s="11" t="str">
        <x:v>顶层挑梁受侧力混凝土框架为平面梁/刚架的直接力学建模与关键响应校核，规划OpenSees按实际杆段和约束组织分析；侧力在柱顶之外的悬端，正反工况需分别保存。</x:v>
      </x:c>
      <x:c r="AA279" s="11" t="str">
        <x:v>保留顶端真实悬段；D/W+/W-独立并按三组合出结果，侧力不取绝对值；执行后按原题完整输出：三组合悬端Ux/Uz、右柱脚弯矩；附与数值一致的模型/结果图。本轮仅规划，不运行。</x:v>
      </x:c>
      <x:c r="AB279" s="11" t="str">
        <x:v>待逐题验证</x:v>
      </x:c>
      <x:c r="AC279" s="11" t="str">
        <x:v>尚未确认本题可通过；接口/求解/读回预检重点：保留顶端真实悬段；D/W+/W-独立并按三组合出结果，侧力不取绝对值。特殊单元、轴向、边界及组合均不因OpenSees原生支持而视作已接通。</x:v>
      </x:c>
      <x:c r="AD279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D三层主梁依次向下10、8、6kN/m，顶悬段向下4kN/m；W+仅顶悬端Fx=20kN，W-仅该端Fx=-20kN；组合D、D+W+、D+W-；未指定组合时仅算题定基本荷载，指定组合逐组执行，不能用软件默认包络替换。</x:v>
      </x:c>
      <x:c r="AE27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79" s="11" t="str">
        <x:v>OPS；COMMON</x:v>
      </x:c>
    </x:row>
    <x:row r="280" ht="121.5" customHeight="1">
      <x:c r="A280" s="15" t="str">
        <x:v>MM-079</x:v>
      </x:c>
      <x:c r="B280" s="6" t="str">
        <x:v>多模态逆向建模</x:v>
      </x:c>
      <x:c r="C280" s="19" t="str">
        <x:v>M-MM-079</x:v>
      </x:c>
      <x:c r="D280" s="6" t="str">
        <x:v>上层平移的斜柱空间框架：多视图重建</x:v>
      </x:c>
      <x:c r="E280" s="6" t="str">
        <x:v>空间框架</x:v>
      </x:c>
      <x:c r="F280" s="19" t="str">
        <x:v>3D</x:v>
      </x:c>
      <x:c r="G280" s="6" t="str">
        <x:v>多视图重建</x:v>
      </x:c>
      <x:c r="H280" s="19" t="str">
        <x:v>L3</x:v>
      </x:c>
      <x:c r="I280" s="6" t="str">
        <x:v>上层平面不是下层原位复制，多视图需共同确定斜柱端点。</x:v>
      </x:c>
      <x:c r="J280" s="19" t="str">
        <x:v>中文</x:v>
      </x:c>
      <x:c r="K280" s="6" t="str">
        <x:v>新平面及正交立面/局部截面PNG共同给本题空间几何、连接与朝向；附录给明确约束、荷载向量、完整属性和视图轴约定，不直接给完整节点坐标答案。所有新附件待制作、盲审与验证。面载仅传给X梁，受荷宽度为实际相邻楼面Y向半跨之和；Y梁不重复加载，无默认刚性楼板。</x:v>
      </x:c>
      <x:c r="L280" s="23" t="n">
        <x:v>1</x:v>
      </x:c>
      <x:c r="M280" s="6" t="str">
        <x:v>几何：下层平面四角(0,0)、(6,0)、(0,5)、(6,5)m且z=3.6m；上层四点沿X平移1m、z=7.2m，对应上下节点由斜柱连接；下层柱从原平面z=0起，各层四边设梁；边界：四底柱脚六自由度固定；荷载：两层面载均10kN/m²，按X梁单向受荷；属性：钢M1、柱C1、X梁B1、Y梁B2，无刚性楼板。（本栏是编题规格，实际用户输入按图/表分工呈现。）</x:v>
      </x:c>
      <x:c r="N280" s="6" t="str">
        <x:v>上层平面不是下层原位复制，多视图需共同确定斜柱端点。</x:v>
      </x:c>
      <x:c r="O280" s="6" t="str">
        <x:v>顶层(7,5,7.2)m节点Ux/Uz、前右柱底弯矩；附与数值一致的模型/结果图。</x:v>
      </x:c>
      <x:c r="P280" s="6" t="str">
        <x:v>模型核对：规则直柱空间框架改为上层整体平移、层间柱倾斜。；数值/表述核对：顶层(7,5,7.2)m节点Ux/Uz、前右柱底弯矩，位置、方向、单位须一致。</x:v>
      </x:c>
      <x:c r="Q280" s="19" t="str">
        <x:v>旧题改编</x:v>
      </x:c>
      <x:c r="R280" s="6" t="str">
        <x:v>re-frame3d-simple-construction</x:v>
      </x:c>
      <x:c r="S280" s="6" t="str">
        <x:v>无</x:v>
      </x:c>
      <x:c r="T280" s="6" t="str">
        <x:v>独立模型相对原场景的变化：规则直柱空间框架改为上层整体平移、层间柱倾斜。旧附件须按本模型重绘，旧数值仅作对照。基础来源：std-frame3d-simple-gt。多模态机制来源：re-frame3d-simple-construction。</x:v>
      </x:c>
      <x:c r="U280" s="6" t="str">
        <x:v>由独立审阅的YJK原生工程形成同版本、同参数的参考结果；核对实际楼层/构件属性、题定荷载合力及力矩平衡，并保存顶层(7,5,7.2)m节点Ux/Uz、前右柱底弯矩的原始索引。原生人工参考模型不代表当前自动接口已接通。</x:v>
      </x:c>
      <x:c r="V280" s="6" t="str">
        <x:v>基础工具；本题新增几何/属性与真值均待独立核验；材料截面代号须在本题附录定值。斜杆全局荷载和局部轴适配待验证。按实际保留矩形楼面逐层分配面载，关闭自重与默认刚性楼板。</x:v>
      </x:c>
      <x:c r="W280" s="6" t="str">
        <x:v>规划，待编题与验证</x:v>
      </x:c>
      <x:c r="X280" s="6" t="str">
        <x:v>YJK（原生建筑模型主选，精确可表达性须验证）；PKPM（原生候选待核）；OpenSees（独立力学建模候选）。适用候选不等于现有接口已接入。</x:v>
      </x:c>
      <x:c r="Y280" s="19" t="str">
        <x:v>YJK</x:v>
      </x:c>
      <x:c r="Z280" s="6" t="str">
        <x:v>两层建筑上层平移与斜柱传力，适合作为原生三维建筑项目重建场景；规划YJK并保留实际楼层及构件属性。</x:v>
      </x:c>
      <x:c r="AA280" s="6" t="str">
        <x:v>原生项目逐层输入平移后的节点和斜柱，确认两种梁截面及单向受荷；适配/回读通过后才纳入自动运行；执行后按原题完整输出：顶层(7,5,7.2)m节点Ux/Uz、前右柱底弯矩；附与数值一致的模型/结果图。本轮仅规划，不运行。</x:v>
      </x:c>
      <x:c r="AB280" s="6" t="str">
        <x:v>存在已知接口缺口</x:v>
      </x:c>
      <x:c r="AC280" s="6" t="str">
        <x:v>现有YJK接口按完整规则柱网及相邻水平梁/竖柱生成，不能忠实表达上层平移斜柱；单一梁截面参数还不能承载X梁B1/Y梁B2。原生项目的精确属性与单向受荷配置亦须验证。</x:v>
      </x:c>
      <x:c r="AD280" s="6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面载仅传给实际X梁，受荷宽度为相邻实际楼面Y向半跨之和，Y梁不重复加载；等效线/节点载须同时保持合力和力矩。荷载契约：两层面载均10kN/m²，按X梁单向受荷；未指定组合时仅算题定基本荷载，指定组合逐组执行，不能用软件默认包络替换。</x:v>
      </x:c>
      <x:c r="AE280" s="6" t="str">
        <x:v>计划保存输入PNG/DXF及图中构件/标签→计算节点/构件ID映射、YJK原生工程及接口导入/回读差异、引擎版本与设置快照、实际运行日志、原始结果表/观测点索引、可视图所用数据。</x:v>
      </x:c>
      <x:c r="AF280" s="6" t="str">
        <x:v>YJK；COMMON</x:v>
      </x:c>
    </x:row>
    <x:row r="281" ht="121.5" customHeight="1">
      <x:c r="A281" s="14" t="str">
        <x:v>MM-080</x:v>
      </x:c>
      <x:c r="B281" s="11" t="str">
        <x:v>多模态逆向建模</x:v>
      </x:c>
      <x:c r="C281" s="18" t="str">
        <x:v>M-MM-080</x:v>
      </x:c>
      <x:c r="D281" s="11" t="str">
        <x:v>顶层缺横梁的空间框架：多视图重建</x:v>
      </x:c>
      <x:c r="E281" s="11" t="str">
        <x:v>空间框架</x:v>
      </x:c>
      <x:c r="F281" s="18" t="str">
        <x:v>3D</x:v>
      </x:c>
      <x:c r="G281" s="11" t="str">
        <x:v>多视图重建</x:v>
      </x:c>
      <x:c r="H281" s="18" t="str">
        <x:v>L3</x:v>
      </x:c>
      <x:c r="I281" s="11" t="str">
        <x:v>平面中缺少一根实际横梁，侧载使该缺失影响空间约束。</x:v>
      </x:c>
      <x:c r="J281" s="18" t="str">
        <x:v>英文</x:v>
      </x:c>
      <x:c r="K281" s="11" t="str">
        <x:v>新平面及正交立面/局部截面PNG共同给本题空间几何、连接与朝向；附录给明确约束、荷载向量、完整属性和视图轴约定，不直接给完整节点坐标答案。所有新附件待制作、盲审与验证。面载仅传给X梁，受荷宽度为实际相邻楼面Y向半跨之和；Y梁不重复加载，无默认刚性楼板。</x:v>
      </x:c>
      <x:c r="L281" s="22" t="n">
        <x:v>1</x:v>
      </x:c>
      <x:c r="M281" s="11" t="str">
        <x:v>几何：X网格0、6、12m，Y网格0、5m，两层z=3.6、7.2m；柱线完整，各层网格边梁齐全但顶层x=6m的Y梁缺失；边界：六底柱脚固定；荷载：两层面载8kN/m²按X梁单向分配，顶层(12,5,7.2)m节点Fy=20kN；属性：钢M1、柱C1、X梁B1、Y梁B2，无刚性楼板。（本栏是编题规格，实际用户输入按图/表分工呈现。）</x:v>
      </x:c>
      <x:c r="N281" s="11" t="str">
        <x:v>平面中缺少一根实际横梁，侧载使该缺失影响空间约束。</x:v>
      </x:c>
      <x:c r="O281" s="11" t="str">
        <x:v>受侧力顶点Uy、缺梁两端节点相对Uy；附与数值一致的模型/结果图。</x:v>
      </x:c>
      <x:c r="P281" s="11" t="str">
        <x:v>模型核对：规则2×1跨顶层删除中间横梁，并新增横向侧力检验力路。；数值/表述核对：受侧力顶点Uy、缺梁两端节点相对Uy，位置、方向、单位须一致。</x:v>
      </x:c>
      <x:c r="Q281" s="18" t="str">
        <x:v>新增</x:v>
      </x:c>
      <x:c r="R281" s="11" t="str">
        <x:v>无</x:v>
      </x:c>
      <x:c r="S281" s="11" t="str">
        <x:v>无</x:v>
      </x:c>
      <x:c r="T281" s="11" t="str">
        <x:v>独立模型相对原场景的变化：规则2×1跨顶层删除中间横梁，并新增横向侧力检验力路。旧附件须按本模型重绘，旧数值仅作对照。基础来源：frame-3d-2story-2bayx-1bayy。</x:v>
      </x:c>
      <x:c r="U281" s="11" t="str">
        <x:v>由独立审阅的YJK原生工程形成同版本、同参数的参考结果；核对实际楼层/构件属性、题定荷载合力及力矩平衡，并保存受侧力顶点Uy、缺梁两端节点相对Uy的原始索引。原生人工参考模型不代表当前自动接口已接通。</x:v>
      </x:c>
      <x:c r="V281" s="11" t="str">
        <x:v>按本题拟定 YJK 独立重算并核验；本题新增几何/属性与真值均待独立核验；材料截面代号须在本题附录定值。按实际保留矩形楼面逐层分配面载，关闭自重与默认刚性楼板。</x:v>
      </x:c>
      <x:c r="W281" s="11" t="str">
        <x:v>规划，待编题与验证</x:v>
      </x:c>
      <x:c r="X281" s="11" t="str">
        <x:v>YJK（原生建筑模型主选，精确可表达性须验证）；PKPM（原生候选待核）；OpenSees（独立力学建模候选）。适用候选不等于现有接口已接入。</x:v>
      </x:c>
      <x:c r="Y281" s="18" t="str">
        <x:v>YJK</x:v>
      </x:c>
      <x:c r="Z281" s="11" t="str">
        <x:v>两层空间钢框架的局部缺梁及横向位移校核属于楼层化建筑分析，规划YJK原生项目复现图纸。</x:v>
      </x:c>
      <x:c r="AA281" s="11" t="str">
        <x:v>原生项目保留顶层缺横梁和20kN角点Y力，核对该层实际梁图；适配/回读通过后才纳入自动运行；执行后按原题完整输出：受侧力顶点Uy、缺梁两端节点相对Uy；附与数值一致的模型/结果图。本轮仅规划，不运行。</x:v>
      </x:c>
      <x:c r="AB281" s="11" t="str">
        <x:v>存在已知接口缺口</x:v>
      </x:c>
      <x:c r="AC281" s="11" t="str">
        <x:v>当前YJK会按完整相邻梁网补梁，缺顶层Y梁无法保留；角点Fy点力不属于现有DL/LL楼面荷载接口，X/Y两类梁截面也超出现有单梁截面参数。</x:v>
      </x:c>
      <x:c r="AD281" s="11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面载仅传给实际X梁，受荷宽度为相邻实际楼面Y向半跨之和，Y梁不重复加载；等效线/节点载须同时保持合力和力矩。荷载契约：两层面载8kN/m²按X梁单向分配，顶层(12,5,7.2)m节点Fy=20kN；未指定组合时仅算题定基本荷载，指定组合逐组执行，不能用软件默认包络替换。</x:v>
      </x:c>
      <x:c r="AE281" s="11" t="str">
        <x:v>计划保存输入PNG/DXF及图中构件/标签→计算节点/构件ID映射、YJK原生工程及接口导入/回读差异、引擎版本与设置快照、实际运行日志、原始结果表/观测点索引、可视图所用数据。</x:v>
      </x:c>
      <x:c r="AF281" s="11" t="str">
        <x:v>YJK；COMMON</x:v>
      </x:c>
    </x:row>
    <x:row r="282" ht="108" customHeight="1">
      <x:c r="A282" s="15" t="str">
        <x:v>MM-081</x:v>
      </x:c>
      <x:c r="B282" s="6" t="str">
        <x:v>多模态逆向建模</x:v>
      </x:c>
      <x:c r="C282" s="19" t="str">
        <x:v>M-MM-081</x:v>
      </x:c>
      <x:c r="D282" s="6" t="str">
        <x:v>顶层沿Y退台的三层空间框架：结构DXF</x:v>
      </x:c>
      <x:c r="E282" s="6" t="str">
        <x:v>空间框架</x:v>
      </x:c>
      <x:c r="F282" s="19" t="str">
        <x:v>3D</x:v>
      </x:c>
      <x:c r="G282" s="6" t="str">
        <x:v>结构DXF</x:v>
      </x:c>
      <x:c r="H282" s="19" t="str">
        <x:v>L3</x:v>
      </x:c>
      <x:c r="I282" s="6" t="str">
        <x:v>第三层实际范围不同，不能由低层平面整层拉伸复制。</x:v>
      </x:c>
      <x:c r="J282" s="19" t="str">
        <x:v>中文</x:v>
      </x:c>
      <x:c r="K282" s="6" t="str">
        <x:v>新结构DXF的实体、尺寸及连接符号给本题几何/拓扑/支座；荷载标注或区域标签关联载荷表；完整属性另附，源单位与坐标映射显式给定。所有新附件待制作、盲审与验证。面载仅传给X梁，受荷宽度为实际相邻楼面Y向半跨之和；Y梁不重复加载，无默认刚性楼板。</x:v>
      </x:c>
      <x:c r="L282" s="23" t="n">
        <x:v>1</x:v>
      </x:c>
      <x:c r="M282" s="6" t="str">
        <x:v>几何：X网格0、6m，Y网格0、5、10m；首两层z=3.3、6.6m完整1×2跨，第三层z=9.9m仅保留Y=0、5m一跨，Y=10m柱止于第二层；实际楼层四周和网格设梁；边界：六底柱脚固定；荷载：每层实际完整矩形楼面10kN/m²按X梁单向分配；属性：钢M1、柱C1、X梁B1、Y梁B2，无刚性楼板。（本栏是编题规格，实际用户输入按图/表分工呈现。）</x:v>
      </x:c>
      <x:c r="N282" s="6" t="str">
        <x:v>第三层实际范围不同，不能由低层平面整层拉伸复制。</x:v>
      </x:c>
      <x:c r="O282" s="6" t="str">
        <x:v>第三层(6,5,9.9)m节点Uz、第二层后侧节点Uz；附与数值一致的模型/结果图。</x:v>
      </x:c>
      <x:c r="P282" s="6" t="str">
        <x:v>模型核对：三层规则1×2跨改为顶层1×1跨退台，取消两根上层柱段及对应梁。；数值/表述核对：第三层(6,5,9.9)m节点Uz、第二层后侧节点Uz，位置、方向、单位须一致。</x:v>
      </x:c>
      <x:c r="Q282" s="19" t="str">
        <x:v>新增</x:v>
      </x:c>
      <x:c r="R282" s="6" t="str">
        <x:v>无</x:v>
      </x:c>
      <x:c r="S282" s="6" t="str">
        <x:v>无</x:v>
      </x:c>
      <x:c r="T282" s="6" t="str">
        <x:v>独立模型相对原场景的变化：三层规则1×2跨改为顶层1×1跨退台，取消两根上层柱段及对应梁。旧附件须按本模型重绘，旧数值仅作对照。基础来源：frame-3d-3story-1bayx-2bayy-en。</x:v>
      </x:c>
      <x:c r="U282" s="6" t="str">
        <x:v>由独立审阅的PKPM原生工程形成同版本、同参数的参考结果；核对实际楼层/构件属性、题定荷载合力及力矩平衡，并保存第三层(6,5,9.9)m节点Uz、第二层后侧节点Uz的原始索引。原生人工参考模型不代表当前自动接口已接通。</x:v>
      </x:c>
      <x:c r="V282" s="6" t="str">
        <x:v>按本题拟定 PKPM 独立重算并核验；本题新增几何/属性与真值均待独立核验；材料截面代号须在本题附录定值。按实际保留矩形楼面逐层分配面载，关闭自重与默认刚性楼板。</x:v>
      </x:c>
      <x:c r="W282" s="6" t="str">
        <x:v>规划，待编题与验证</x:v>
      </x:c>
      <x:c r="X282" s="6" t="str">
        <x:v>PKPM（原生建筑模型主选，精确可表达性须验证）；YJK（原生候选待核）；OpenSees（独立力学建模候选）。适用候选不等于现有接口已接入。</x:v>
      </x:c>
      <x:c r="Y282" s="19" t="str">
        <x:v>PKPM</x:v>
      </x:c>
      <x:c r="Z282" s="6" t="str">
        <x:v>三层建筑顶层退台及分层楼面受荷，规划PKPM原生建筑模型；重点是层间实际平面和位移证据。</x:v>
      </x:c>
      <x:c r="AA282" s="6" t="str">
        <x:v>原生项目第三层只留实际退台一跨，不以重复标准层补回后侧柱梁；逐层荷载/节点回读验证后再执行；执行后按原题完整输出：第三层(6,5,9.9)m节点Uz、第二层后侧节点Uz；附与数值一致的模型/结果图。本轮仅规划，不运行。</x:v>
      </x:c>
      <x:c r="AB282" s="6" t="str">
        <x:v>存在已知接口缺口</x:v>
      </x:c>
      <x:c r="AC282" s="6" t="str">
        <x:v>现有PKPM要求各层相同平面节点/拓扑/属性，不能表达第三层退台及停柱；须增加逐层建模并核对实际楼面X向分配及节点位移回读。不得补回退台梁柱。</x:v>
      </x:c>
      <x:c r="AD282" s="6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面载仅传给实际X梁，受荷宽度为相邻实际楼面Y向半跨之和，Y梁不重复加载；等效线/节点载须同时保持合力和力矩。荷载契约：每层实际完整矩形楼面10kN/m²按X梁单向分配；未指定组合时仅算题定基本荷载，指定组合逐组执行，不能用软件默认包络替换。</x:v>
      </x:c>
      <x:c r="AE282" s="6" t="str">
        <x:v>计划保存输入PNG/DXF及图中构件/标签→计算节点/构件ID映射、PKPM原生工程及接口导入/回读差异、引擎版本与设置快照、实际运行日志、原始结果表/观测点索引、可视图所用数据。</x:v>
      </x:c>
      <x:c r="AF282" s="6" t="str">
        <x:v>PKPM；COMMON</x:v>
      </x:c>
    </x:row>
    <x:row r="283" ht="108" customHeight="1">
      <x:c r="A283" s="14" t="str">
        <x:v>MM-082</x:v>
      </x:c>
      <x:c r="B283" s="11" t="str">
        <x:v>多模态逆向建模</x:v>
      </x:c>
      <x:c r="C283" s="18" t="str">
        <x:v>M-MM-082</x:v>
      </x:c>
      <x:c r="D283" s="11" t="str">
        <x:v>顶层整条Y梁线缺失空间框架：建筑DXF</x:v>
      </x:c>
      <x:c r="E283" s="11" t="str">
        <x:v>空间框架</x:v>
      </x:c>
      <x:c r="F283" s="18" t="str">
        <x:v>3D</x:v>
      </x:c>
      <x:c r="G283" s="11" t="str">
        <x:v>建筑DXF</x:v>
      </x:c>
      <x:c r="H283" s="18" t="str">
        <x:v>L3</x:v>
      </x:c>
      <x:c r="I283" s="11" t="str">
        <x:v>建筑轴线可能掩盖整条缺梁线，需按结构实体而不是网格建梁。</x:v>
      </x:c>
      <x:c r="J283" s="18" t="str">
        <x:v>英文</x:v>
      </x:c>
      <x:c r="K283" s="11" t="str">
        <x:v>新建筑DXF通过明确结构层提供本题几何/连接；围护/设备为干扰层；工程附录明确支座、荷载、属性和坐标映射，不把墙线默认成杆件或支座。所有新附件待制作、盲审与验证。面载仅传给X梁，受荷宽度为实际相邻楼面Y向半跨之和；Y梁不重复加载，无默认刚性楼板。</x:v>
      </x:c>
      <x:c r="L283" s="22" t="n">
        <x:v>1</x:v>
      </x:c>
      <x:c r="M283" s="11" t="str">
        <x:v>几何：X网格0、6、12m，Y网格0、5、10m，两层z=3.6、7.2m；九柱线完整，楼层网格梁齐全但顶层x=6m的两段Y梁均缺失；边界：九柱脚固定；荷载：首层面载10、二层8kN/m²按X梁单向分配；顶层(12,10,7.2)m加Fx=15、Fy=10kN；属性：钢M1、柱C1、X梁B1、Y梁B2，无刚性楼板。（本栏是编题规格，实际用户输入按图/表分工呈现。）</x:v>
      </x:c>
      <x:c r="N283" s="11" t="str">
        <x:v>建筑轴线可能掩盖整条缺梁线，需按结构实体而不是网格建梁。</x:v>
      </x:c>
      <x:c r="O283" s="11" t="str">
        <x:v>加载角点Ux/Uy、顶层中心节点Uy；附与数值一致的模型/结果图。</x:v>
      </x:c>
      <x:c r="P283" s="11" t="str">
        <x:v>模型核对：规则2×2跨框架顶层删去一整条横向梁线并施双向偏心侧力。；数值/表述核对：加载角点Ux/Uy、顶层中心节点Uy，位置、方向、单位须一致。</x:v>
      </x:c>
      <x:c r="Q283" s="18" t="str">
        <x:v>旧题改编</x:v>
      </x:c>
      <x:c r="R283" s="11" t="str">
        <x:v>re-arch-frame3d-complex</x:v>
      </x:c>
      <x:c r="S283" s="11" t="str">
        <x:v>无</x:v>
      </x:c>
      <x:c r="T283" s="11" t="str">
        <x:v>独立模型相对原场景的变化：规则2×2跨框架顶层删去一整条横向梁线并施双向偏心侧力。旧附件须按本模型重绘，旧数值仅作对照。基础来源：std-frame3d-complex-gt。多模态机制来源：re-arch-frame3d-complex。</x:v>
      </x:c>
      <x:c r="U283" s="11" t="str">
        <x:v>由独立审阅的YJK原生工程形成同版本、同参数的参考结果；核对实际楼层/构件属性、题定荷载合力及力矩平衡，并保存加载角点Ux/Uy、顶层中心节点Uy的原始索引。原生人工参考模型不代表当前自动接口已接通。</x:v>
      </x:c>
      <x:c r="V283" s="11" t="str">
        <x:v>按本题拟定 YJK 独立重算并核验；本题新增几何/属性与真值均待独立核验；材料截面代号须在本题附录定值。按实际保留矩形楼面逐层分配面载，关闭自重与默认刚性楼板。</x:v>
      </x:c>
      <x:c r="W283" s="11" t="str">
        <x:v>规划，待编题与验证</x:v>
      </x:c>
      <x:c r="X283" s="11" t="str">
        <x:v>YJK（原生建筑模型主选，精确可表达性须验证）；PKPM（原生候选待核）；OpenSees（独立力学建模候选）。适用候选不等于现有接口已接入。</x:v>
      </x:c>
      <x:c r="Y283" s="18" t="str">
        <x:v>YJK</x:v>
      </x:c>
      <x:c r="Z283" s="11" t="str">
        <x:v>建筑平面图重建两层空间钢框架，完整楼层中含缺梁线和角部双向侧力，规划YJK原生建筑分析。</x:v>
      </x:c>
      <x:c r="AA283" s="11" t="str">
        <x:v>原生项目顶层整条Y梁线缺失，保留两向角点力和X/Y梁分组；适配/回读通过后再执行；执行后按原题完整输出：加载角点Ux/Uy、顶层中心节点Uy；附与数值一致的模型/结果图。本轮仅规划，不运行。</x:v>
      </x:c>
      <x:c r="AB283" s="11" t="str">
        <x:v>存在已知接口缺口</x:v>
      </x:c>
      <x:c r="AC283" s="11" t="str">
        <x:v>现有YJK完整相邻梁网不能删除顶层整条Y梁线；角点Fx/Fy点力及X/Y两类梁截面分别超出当前楼面荷载与单梁截面接口。</x:v>
      </x:c>
      <x:c r="AD283" s="11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面载仅传给实际X梁，受荷宽度为相邻实际楼面Y向半跨之和，Y梁不重复加载；等效线/节点载须同时保持合力和力矩。荷载契约：首层面载10、二层8kN/m²按X梁单向分配；顶层(12,10,7.2)m加Fx=15、Fy=10kN；未指定组合时仅算题定基本荷载，指定组合逐组执行，不能用软件默认包络替换。</x:v>
      </x:c>
      <x:c r="AE283" s="11" t="str">
        <x:v>计划保存输入PNG/DXF及图中构件/标签→计算节点/构件ID映射、YJK原生工程及接口导入/回读差异、引擎版本与设置快照、实际运行日志、原始结果表/观测点索引、可视图所用数据。</x:v>
      </x:c>
      <x:c r="AF283" s="11" t="str">
        <x:v>YJK；COMMON</x:v>
      </x:c>
    </x:row>
    <x:row r="284" ht="121.5" customHeight="1">
      <x:c r="A284" s="15" t="str">
        <x:v>MM-083</x:v>
      </x:c>
      <x:c r="B284" s="6" t="str">
        <x:v>多模态逆向建模</x:v>
      </x:c>
      <x:c r="C284" s="19" t="str">
        <x:v>M-MM-083</x:v>
      </x:c>
      <x:c r="D284" s="6" t="str">
        <x:v>三层局部退台混凝土空间框架：多视图重建</x:v>
      </x:c>
      <x:c r="E284" s="6" t="str">
        <x:v>空间框架</x:v>
      </x:c>
      <x:c r="F284" s="19" t="str">
        <x:v>3D</x:v>
      </x:c>
      <x:c r="G284" s="6" t="str">
        <x:v>多视图重建</x:v>
      </x:c>
      <x:c r="H284" s="19" t="str">
        <x:v>L3</x:v>
      </x:c>
      <x:c r="I284" s="6" t="str">
        <x:v>退台仅影响顶层右半，材料表与三层实际楼面分别关联。</x:v>
      </x:c>
      <x:c r="J284" s="19" t="str">
        <x:v>中文</x:v>
      </x:c>
      <x:c r="K284" s="6" t="str">
        <x:v>新平面及正交立面/局部截面PNG共同给本题空间几何、连接与朝向；附录给明确约束、荷载向量、完整属性和视图轴约定，不直接给完整节点坐标答案。所有新附件待制作、盲审与验证。面载仅传给X梁，受荷宽度为实际相邻楼面Y向半跨之和；Y梁不重复加载，无默认刚性楼板。</x:v>
      </x:c>
      <x:c r="L284" s="23" t="n">
        <x:v>1</x:v>
      </x:c>
      <x:c r="M284" s="6" t="str">
        <x:v>几何：X网格0、6、12m，Y网格0、5m；首两层z=3.6、7.2m完整2×1跨，第三层z=10.8m仅保留X=0至6m的一跨，右侧两柱止于第二层；实际网格梁齐全；边界：六底柱脚固定；荷载：首两层面载12、顶层6kN/m²按X梁单向分配；属性：C30、柱500×500mm、梁300×600mm，无刚性楼板。（本栏是编题规格，实际用户输入按图/表分工呈现。）</x:v>
      </x:c>
      <x:c r="N284" s="6" t="str">
        <x:v>退台仅影响顶层右半，材料表与三层实际楼面分别关联。</x:v>
      </x:c>
      <x:c r="O284" s="6" t="str">
        <x:v>第三层(6,5,10.8)m节点Uz、右侧底柱轴力；附与数值一致的模型/结果图。</x:v>
      </x:c>
      <x:c r="P284" s="6" t="str">
        <x:v>模型核对：两层规则混凝土空间框架增加局部第三层，形成新的退台拓扑。；数值/表述核对：第三层(6,5,10.8)m节点Uz、右侧底柱轴力，位置、方向、单位须一致。</x:v>
      </x:c>
      <x:c r="Q284" s="19" t="str">
        <x:v>新增</x:v>
      </x:c>
      <x:c r="R284" s="6" t="str">
        <x:v>无</x:v>
      </x:c>
      <x:c r="S284" s="6" t="str">
        <x:v>无</x:v>
      </x:c>
      <x:c r="T284" s="6" t="str">
        <x:v>独立模型相对原场景的变化：两层规则混凝土空间框架增加局部第三层，形成新的退台拓扑。旧附件须按本模型重绘，旧数值仅作对照。基础来源：concrete-frame-3d-2story-static。</x:v>
      </x:c>
      <x:c r="U284" s="6" t="str">
        <x:v>由独立审阅的PKPM原生工程形成同版本、同参数的参考结果；核对实际楼层/构件属性、题定荷载合力及力矩平衡，并保存第三层(6,5,10.8)m节点Uz、右侧底柱轴力的原始索引。原生人工参考模型不代表当前自动接口已接通。</x:v>
      </x:c>
      <x:c r="V284" s="6" t="str">
        <x:v>按本题拟定 PKPM 独立重算并核验；本题新增几何/属性与真值均待独立核验；材料截面代号须在本题附录定值。按实际保留矩形楼面逐层分配面载，关闭自重与默认刚性楼板。</x:v>
      </x:c>
      <x:c r="W284" s="6" t="str">
        <x:v>规划，待编题与验证</x:v>
      </x:c>
      <x:c r="X284" s="6" t="str">
        <x:v>PKPM（原生建筑模型主选，精确可表达性须验证）；YJK（原生候选待核）；OpenSees（独立力学建模候选）。适用候选不等于现有接口已接入。</x:v>
      </x:c>
      <x:c r="Y284" s="19" t="str">
        <x:v>PKPM</x:v>
      </x:c>
      <x:c r="Z284" s="6" t="str">
        <x:v>三层混凝土建筑含局部新增顶层，场景核心是实际楼层范围、梁柱及分层竖向荷载，规划PKPM原生项目。</x:v>
      </x:c>
      <x:c r="AA284" s="6" t="str">
        <x:v>原生混凝土项目三层范围分别定义，保持顶层局部新增区域和逐层面载；建模/结果通道验证后再执行；执行后按原题完整输出：第三层(6,5,10.8)m节点Uz、右侧底柱轴力；附与数值一致的模型/结果图。本轮仅规划，不运行。</x:v>
      </x:c>
      <x:c r="AB284" s="6" t="str">
        <x:v>存在已知接口缺口</x:v>
      </x:c>
      <x:c r="AC284" s="6" t="str">
        <x:v>当前PKPM重复同一平面/拓扑，不能表达仅左侧一跨的第三层及停柱；须提供逐层模型和有效楼面分配，核对指定顶点位移与底柱轴力读取。</x:v>
      </x:c>
      <x:c r="AD284" s="6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面载仅传给实际X梁，受荷宽度为相邻实际楼面Y向半跨之和，Y梁不重复加载；等效线/节点载须同时保持合力和力矩。荷载契约：首两层面载12、顶层6kN/m²按X梁单向分配；未指定组合时仅算题定基本荷载，指定组合逐组执行，不能用软件默认包络替换。</x:v>
      </x:c>
      <x:c r="AE284" s="6" t="str">
        <x:v>计划保存输入PNG/DXF及图中构件/标签→计算节点/构件ID映射、PKPM原生工程及接口导入/回读差异、引擎版本与设置快照、实际运行日志、原始结果表/观测点索引、可视图所用数据。</x:v>
      </x:c>
      <x:c r="AF284" s="6" t="str">
        <x:v>PKPM；COMMON</x:v>
      </x:c>
    </x:row>
    <x:row r="285" ht="108" customHeight="1">
      <x:c r="A285" s="14" t="str">
        <x:v>MM-084</x:v>
      </x:c>
      <x:c r="B285" s="11" t="str">
        <x:v>多模态逆向建模</x:v>
      </x:c>
      <x:c r="C285" s="18" t="str">
        <x:v>M-MM-084</x:v>
      </x:c>
      <x:c r="D285" s="11" t="str">
        <x:v>顶层缺边中柱的空间转换框架：结构DXF</x:v>
      </x:c>
      <x:c r="E285" s="11" t="str">
        <x:v>空间框架</x:v>
      </x:c>
      <x:c r="F285" s="18" t="str">
        <x:v>3D</x:v>
      </x:c>
      <x:c r="G285" s="11" t="str">
        <x:v>结构DXF</x:v>
      </x:c>
      <x:c r="H285" s="18" t="str">
        <x:v>L3</x:v>
      </x:c>
      <x:c r="I285" s="11" t="str">
        <x:v>平面梁节点存在不代表下方有柱，前侧转换梁是不同截面组。</x:v>
      </x:c>
      <x:c r="J285" s="18" t="str">
        <x:v>英文</x:v>
      </x:c>
      <x:c r="K285" s="11" t="str">
        <x:v>新结构DXF的实体、尺寸及连接符号给本题几何/拓扑/支座；荷载标注或区域标签关联载荷表；完整属性另附，源单位与坐标映射显式给定。所有新附件待制作、盲审与验证。面载仅传给X梁，受荷宽度为实际相邻楼面Y向半跨之和；Y梁不重复加载，无默认刚性楼板。</x:v>
      </x:c>
      <x:c r="L285" s="22" t="n">
        <x:v>1</x:v>
      </x:c>
      <x:c r="M285" s="11" t="str">
        <x:v>几何：X网格0、6、12m，Y网格0、5m，两层z=3.6、7.2m，各层梁网完整；仅第二层位于(6,0)的柱段缺失，顶梁在该点连续且连接Y梁；边界：六底柱脚固定；荷载：首层面载12、二层10kN/m²按X梁单向分配；属性：C30、柱500×500mm、普通梁300×600mm，顶层前侧12m转换梁400×800mm，无刚性楼板。（本栏是编题规格，实际用户输入按图/表分工呈现。）</x:v>
      </x:c>
      <x:c r="N285" s="11" t="str">
        <x:v>平面梁节点存在不代表下方有柱，前侧转换梁是不同截面组。</x:v>
      </x:c>
      <x:c r="O285" s="11" t="str">
        <x:v>顶层(6,0,7.2)m节点Uz、前侧转换梁中点弯矩；附与数值一致的模型/结果图。</x:v>
      </x:c>
      <x:c r="P285" s="11" t="str">
        <x:v>模型核对：规则框架删除一个上层边中柱段并采用连续转换梁。；数值/表述核对：顶层(6,0,7.2)m节点Uz、前侧转换梁中点弯矩，位置、方向、单位须一致。</x:v>
      </x:c>
      <x:c r="Q285" s="18" t="str">
        <x:v>旧题改编</x:v>
      </x:c>
      <x:c r="R285" s="11" t="str">
        <x:v>re-dxf-frame3d-concrete</x:v>
      </x:c>
      <x:c r="S285" s="11" t="str">
        <x:v>无</x:v>
      </x:c>
      <x:c r="T285" s="11" t="str">
        <x:v>独立模型相对原场景的变化：规则框架删除一个上层边中柱段并采用连续转换梁。旧附件须按本模型重绘，旧数值仅作对照。基础来源：std-frame3d-concrete-gt。多模态机制来源：re-dxf-frame3d-concrete。</x:v>
      </x:c>
      <x:c r="U285" s="11" t="str">
        <x:v>由独立审阅的YJK原生工程形成同版本、同参数的参考结果；核对实际楼层/构件属性、题定荷载合力及力矩平衡，并保存顶层(6,0,7.2)m节点Uz、前侧转换梁中点弯矩的原始索引。原生人工参考模型不代表当前自动接口已接通。</x:v>
      </x:c>
      <x:c r="V285" s="11" t="str">
        <x:v>按本题拟定 YJK 独立重算并核验；本题新增几何/属性与真值均待独立核验；材料截面代号须在本题附录定值。按实际保留矩形楼面逐层分配面载，关闭自重与默认刚性楼板。</x:v>
      </x:c>
      <x:c r="W285" s="11" t="str">
        <x:v>规划，待编题与验证</x:v>
      </x:c>
      <x:c r="X285" s="11" t="str">
        <x:v>YJK（原生建筑模型主选，精确可表达性须验证）；PKPM（原生候选待核）；OpenSees（独立力学建模候选）。适用候选不等于现有接口已接入。</x:v>
      </x:c>
      <x:c r="Y285" s="18" t="str">
        <x:v>YJK</x:v>
      </x:c>
      <x:c r="Z285" s="11" t="str">
        <x:v>缺上层边中柱与加大转换梁构成建筑转换层问题，规划YJK原生模型并检查转换节点和构件内力。</x:v>
      </x:c>
      <x:c r="AA285" s="11" t="str">
        <x:v>原生项目显式删去上层边中柱，连续转换梁使用独立截面；核对节点Uz及转换梁弯矩读取；执行后按原题完整输出：顶层(6,0,7.2)m节点Uz、前侧转换梁中点弯矩；附与数值一致的模型/结果图。本轮仅规划，不运行。</x:v>
      </x:c>
      <x:c r="AB285" s="11" t="str">
        <x:v>存在已知接口缺口</x:v>
      </x:c>
      <x:c r="AC285" s="11" t="str">
        <x:v>当前YJK规则完整柱网不能删除局部上层柱段；单一梁截面不能区分普通梁与400×800转换梁。需要局部构件/截面映射及转换梁中点弯矩读回验证。</x:v>
      </x:c>
      <x:c r="AD285" s="11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面载仅传给实际X梁，受荷宽度为相邻实际楼面Y向半跨之和，Y梁不重复加载；等效线/节点载须同时保持合力和力矩。荷载契约：首层面载12、二层10kN/m²按X梁单向分配；未指定组合时仅算题定基本荷载，指定组合逐组执行，不能用软件默认包络替换。</x:v>
      </x:c>
      <x:c r="AE285" s="11" t="str">
        <x:v>计划保存输入PNG/DXF及图中构件/标签→计算节点/构件ID映射、YJK原生工程及接口导入/回读差异、引擎版本与设置快照、实际运行日志、原始结果表/观测点索引、可视图所用数据。</x:v>
      </x:c>
      <x:c r="AF285" s="11" t="str">
        <x:v>YJK；COMMON</x:v>
      </x:c>
    </x:row>
    <x:row r="286" ht="121.5" customHeight="1">
      <x:c r="A286" s="15" t="str">
        <x:v>MM-085</x:v>
      </x:c>
      <x:c r="B286" s="6" t="str">
        <x:v>多模态逆向建模</x:v>
      </x:c>
      <x:c r="C286" s="19" t="str">
        <x:v>M-MM-085</x:v>
      </x:c>
      <x:c r="D286" s="6" t="str">
        <x:v>角部斜柱非规则空间框架：多视图重建</x:v>
      </x:c>
      <x:c r="E286" s="6" t="str">
        <x:v>空间框架</x:v>
      </x:c>
      <x:c r="F286" s="19" t="str">
        <x:v>3D</x:v>
      </x:c>
      <x:c r="G286" s="6" t="str">
        <x:v>多视图重建</x:v>
      </x:c>
      <x:c r="H286" s="19" t="str">
        <x:v>L3</x:v>
      </x:c>
      <x:c r="I286" s="6" t="str">
        <x:v>角部斜柱与两根非正交梁须从两立面和平面联合恢复。</x:v>
      </x:c>
      <x:c r="J286" s="19" t="str">
        <x:v>中文</x:v>
      </x:c>
      <x:c r="K286" s="6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86" s="23" t="n">
        <x:v>1</x:v>
      </x:c>
      <x:c r="M286" s="6" t="str">
        <x:v>几何：下层X网格0、4、11m，Y网格0、3、9m，z=3.4m；上层z=7.5m除原(0,0)角节点移为(1,1)外其余节点不变，层间对应连柱且各层按网格相邻连接梁；边界：九底柱脚固定；荷载：所有实际梁按长度向下8kN/m，移位顶角加Fx=10kN；属性：钢M1、柱C1、梁B1，无刚性楼板。（本栏是编题规格，实际用户输入按图/表分工呈现。）</x:v>
      </x:c>
      <x:c r="N286" s="6" t="str">
        <x:v>角部斜柱与两根非正交梁须从两立面和平面联合恢复。</x:v>
      </x:c>
      <x:c r="O286" s="6" t="str">
        <x:v>移位顶角Ux/Uz、该角底柱弯矩；附与数值一致的模型/结果图。</x:v>
      </x:c>
      <x:c r="P286" s="6" t="str">
        <x:v>模型核对：不等网格规则直柱改为一个顶角偏移及非正交连接。；数值/表述核对：移位顶角Ux/Uz、该角底柱弯矩，位置、方向、单位须一致。</x:v>
      </x:c>
      <x:c r="Q286" s="19" t="str">
        <x:v>新增</x:v>
      </x:c>
      <x:c r="R286" s="6" t="str">
        <x:v>无</x:v>
      </x:c>
      <x:c r="S286" s="6" t="str">
        <x:v>无</x:v>
      </x:c>
      <x:c r="T286" s="6" t="str">
        <x:v>独立模型相对原场景的变化：不等网格规则直柱改为一个顶角偏移及非正交连接。旧附件须按本模型重绘，旧数值仅作对照。</x:v>
      </x:c>
      <x:c r="U286" s="6" t="str">
        <x:v>由独立审阅的YJK原生工程形成同版本、同参数的参考结果；核对实际楼层/构件属性、题定荷载合力及力矩平衡，并保存移位顶角Ux/Uz、该角底柱弯矩的原始索引。原生人工参考模型不代表当前自动接口已接通。</x:v>
      </x:c>
      <x:c r="V286" s="6" t="str">
        <x:v>基础工具；本题新增几何/属性与真值均待独立核验；材料截面代号须在本题附录定值。斜杆全局荷载和局部轴适配待验证。</x:v>
      </x:c>
      <x:c r="W286" s="6" t="str">
        <x:v>规划，待编题与验证</x:v>
      </x:c>
      <x:c r="X286" s="6" t="str">
        <x:v>YJK（原生建筑模型主选，精确可表达性须验证）；PKPM（原生候选待核）；OpenSees（独立力学建模候选）。适用候选不等于现有接口已接入。</x:v>
      </x:c>
      <x:c r="Y286" s="19" t="str">
        <x:v>YJK</x:v>
      </x:c>
      <x:c r="Z286" s="6" t="str">
        <x:v>多层建筑角节点偏移造成局部斜柱和非正交梁，规划YJK原生三维项目保留真实空间几何。</x:v>
      </x:c>
      <x:c r="AA286" s="6" t="str">
        <x:v>原生项目保留移位角节点、斜柱与非正交梁，不投影回规则柱网；保留梁线载和角点力；执行后按原题完整输出：移位顶角Ux/Uz、该角底柱弯矩；附与数值一致的模型/结果图。本轮仅规划，不运行。</x:v>
      </x:c>
      <x:c r="AB286" s="6" t="str">
        <x:v>存在已知接口缺口</x:v>
      </x:c>
      <x:c r="AC286" s="6" t="str">
        <x:v>当前YJK完整笛卡尔柱网不支持单个顶角偏移、斜柱及非正交梁；梁线载与角点Fx也不能直接由现有DL/LL楼面接口忠实表达。</x:v>
      </x:c>
      <x:c r="AD286" s="6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所有实际梁按长度向下8kN/m，移位顶角加Fx=10kN；未指定组合时仅算题定基本荷载，指定组合逐组执行，不能用软件默认包络替换。</x:v>
      </x:c>
      <x:c r="AE286" s="6" t="str">
        <x:v>计划保存输入PNG/DXF及图中构件/标签→计算节点/构件ID映射、YJK原生工程及接口导入/回读差异、引擎版本与设置快照、实际运行日志、原始结果表/观测点索引、可视图所用数据。</x:v>
      </x:c>
      <x:c r="AF286" s="6" t="str">
        <x:v>YJK；COMMON</x:v>
      </x:c>
    </x:row>
    <x:row r="287" ht="121.5" customHeight="1">
      <x:c r="A287" s="14" t="str">
        <x:v>MM-086</x:v>
      </x:c>
      <x:c r="B287" s="11" t="str">
        <x:v>多模态逆向建模</x:v>
      </x:c>
      <x:c r="C287" s="18" t="str">
        <x:v>M-MM-086</x:v>
      </x:c>
      <x:c r="D287" s="11" t="str">
        <x:v>U形平面两层空间框架：建筑DXF</x:v>
      </x:c>
      <x:c r="E287" s="11" t="str">
        <x:v>空间框架</x:v>
      </x:c>
      <x:c r="F287" s="18" t="str">
        <x:v>3D</x:v>
      </x:c>
      <x:c r="G287" s="11" t="str">
        <x:v>建筑DXF</x:v>
      </x:c>
      <x:c r="H287" s="18" t="str">
        <x:v>L3</x:v>
      </x:c>
      <x:c r="I287" s="11" t="str">
        <x:v>建筑背景线可能跨过U形开口，必须按保留楼面和结构线定边。</x:v>
      </x:c>
      <x:c r="J287" s="18" t="str">
        <x:v>英文</x:v>
      </x:c>
      <x:c r="K287" s="11" t="str">
        <x:v>新建筑DXF通过明确结构层提供本题几何/连接；围护/设备为干扰层；工程附录明确支座、荷载、属性和坐标映射，不把墙线默认成杆件或支座。所有新附件待制作、盲审与验证。</x:v>
      </x:c>
      <x:c r="L287" s="22" t="n">
        <x:v>1</x:v>
      </x:c>
      <x:c r="M287" s="11" t="str">
        <x:v>几何：X网格0、4、8、12m，Y网格0、5、10m，两层各3.6m；平面取六矩形格去掉后排中间一格形成U形，柱仅在保留格顶点，梁仅沿保留格边线，重复边只建一次；边界：所有底柱脚固定；荷载：全部实际梁向下8kN/m，第二层左翼梁另加向下4kN/m；属性：钢M1、柱C1、梁B1，无刚性楼板。（本栏是编题规格，实际用户输入按图/表分工呈现。）</x:v>
      </x:c>
      <x:c r="N287" s="11" t="str">
        <x:v>建筑背景线可能跨过U形开口，必须按保留楼面和结构线定边。</x:v>
      </x:c>
      <x:c r="O287" s="11" t="str">
        <x:v>顶层凹口两端节点Uz、左翼外柱底反力；附与数值一致的模型/结果图。</x:v>
      </x:c>
      <x:c r="P287" s="11" t="str">
        <x:v>模型核对：L形删角平面改为U形中间凹口，改变缺失区域和连接结构。；数值/表述核对：顶层凹口两端节点Uz、左翼外柱底反力，位置、方向、单位须一致。</x:v>
      </x:c>
      <x:c r="Q287" s="18" t="str">
        <x:v>新增</x:v>
      </x:c>
      <x:c r="R287" s="11" t="str">
        <x:v>无</x:v>
      </x:c>
      <x:c r="S287" s="11" t="str">
        <x:v>无</x:v>
      </x:c>
      <x:c r="T287" s="11" t="str">
        <x:v>独立模型相对原场景的变化：L形删角平面改为U形中间凹口，改变缺失区域和连接结构。旧附件须按本模型重绘，旧数值仅作对照。</x:v>
      </x:c>
      <x:c r="U287" s="11" t="str">
        <x:v>由独立审阅的PKPM原生工程形成同版本、同参数的参考结果；核对实际楼层/构件属性、题定荷载合力及力矩平衡，并保存顶层凹口两端节点Uz、左翼外柱底反力的原始索引。原生人工参考模型不代表当前自动接口已接通。</x:v>
      </x:c>
      <x:c r="V287" s="11" t="str">
        <x:v>不规则楼面荷载映射需验证；本题新增几何/属性与真值均待独立核验；材料截面代号须在本题附录定值。</x:v>
      </x:c>
      <x:c r="W287" s="11" t="str">
        <x:v>规划，待编题与验证</x:v>
      </x:c>
      <x:c r="X287" s="11" t="str">
        <x:v>PKPM（原生建筑模型主选，精确可表达性须验证）；YJK（原生候选待核）；OpenSees（独立力学建模候选）。适用候选不等于现有接口已接入。</x:v>
      </x:c>
      <x:c r="Y287" s="18" t="str">
        <x:v>PKPM</x:v>
      </x:c>
      <x:c r="Z287" s="11" t="str">
        <x:v>两层相同U形平面的建筑及左翼附加载荷，规划PKPM原生建筑模型；不规则平面本身并非改用通用杆系的理由。</x:v>
      </x:c>
      <x:c r="AA287" s="11" t="str">
        <x:v>原生项目保留两层U形实际梁图，精确录入各梁线载及左翼附加载荷；必须补全柱底反力读取通道；执行后按原题完整输出：顶层凹口两端节点Uz、左翼外柱底反力；附与数值一致的模型/结果图。本轮仅规划，不运行。</x:v>
      </x:c>
      <x:c r="AB287" s="11" t="str">
        <x:v>存在已知接口缺口</x:v>
      </x:c>
      <x:c r="AC287" s="11" t="str">
        <x:v>逐梁8kN/m及仅顶层左翼加4kN/m不等价于现有统一DL/LL楼面输入，需精确梁载接口或经证明的等效输入；当前PKPM结果读取缺节点支反力，本题柱底反力必须补齐，不能删掉。U形实际拓扑仍须回读验证。</x:v>
      </x:c>
      <x:c r="AD287" s="11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全部实际梁向下8kN/m，第二层左翼梁另加向下4kN/m；未指定组合时仅算题定基本荷载，指定组合逐组执行，不能用软件默认包络替换。</x:v>
      </x:c>
      <x:c r="AE287" s="11" t="str">
        <x:v>计划保存输入PNG/DXF及图中构件/标签→计算节点/构件ID映射、PKPM原生工程及接口导入/回读差异、引擎版本与设置快照、实际运行日志、原始结果表/观测点索引、可视图所用数据。另保存原始柱底反力及新增读取通道校验记录。</x:v>
      </x:c>
      <x:c r="AF287" s="11" t="str">
        <x:v>PKPM；COMMON</x:v>
      </x:c>
    </x:row>
    <x:row r="288" ht="121.5" customHeight="1">
      <x:c r="A288" s="15" t="str">
        <x:v>MM-087</x:v>
      </x:c>
      <x:c r="B288" s="6" t="str">
        <x:v>多模态逆向建模</x:v>
      </x:c>
      <x:c r="C288" s="19" t="str">
        <x:v>M-MM-087</x:v>
      </x:c>
      <x:c r="D288" s="6" t="str">
        <x:v>顶层对角双翼空间框架：多视图重建</x:v>
      </x:c>
      <x:c r="E288" s="6" t="str">
        <x:v>空间框架</x:v>
      </x:c>
      <x:c r="F288" s="19" t="str">
        <x:v>3D</x:v>
      </x:c>
      <x:c r="G288" s="6" t="str">
        <x:v>多视图重建</x:v>
      </x:c>
      <x:c r="H288" s="19" t="str">
        <x:v>L3</x:v>
      </x:c>
      <x:c r="I288" s="6" t="str">
        <x:v>上层不是整条退台，两翼只在中心角点连接，不能补齐缺格边梁。</x:v>
      </x:c>
      <x:c r="J288" s="19" t="str">
        <x:v>中文</x:v>
      </x:c>
      <x:c r="K288" s="6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88" s="23" t="n">
        <x:v>1</x:v>
      </x:c>
      <x:c r="M288" s="6" t="str">
        <x:v>几何：首层2×2跨，X网格0、6、12m、Y网格0、5、10m、z=3.6m；顶层z=7.2m只保留前左格与后右格，两翼在中心角点共节点；顶柱仅建在保留格顶点，梁沿保留格边线；边界：九底柱脚固定；荷载：首层实际梁向下10kN/m，顶层前左翼8、后右翼6kN/m；属性：钢M1、柱C1、梁B1，无刚性楼板。（本栏是编题规格，实际用户输入按图/表分工呈现。）</x:v>
      </x:c>
      <x:c r="N288" s="6" t="str">
        <x:v>上层不是整条退台，两翼只在中心角点连接，不能补齐缺格边梁。</x:v>
      </x:c>
      <x:c r="O288" s="6" t="str">
        <x:v>两个顶翼外角Uz、共享中心节点Ux；附与数值一致的模型/结果图。</x:v>
      </x:c>
      <x:c r="P288" s="6" t="str">
        <x:v>模型核对：单条上层退台改为对角双翼层间拓扑。；数值/表述核对：两个顶翼外角Uz、共享中心节点Ux，位置、方向、单位须一致。</x:v>
      </x:c>
      <x:c r="Q288" s="19" t="str">
        <x:v>新增</x:v>
      </x:c>
      <x:c r="R288" s="6" t="str">
        <x:v>无</x:v>
      </x:c>
      <x:c r="S288" s="6" t="str">
        <x:v>无</x:v>
      </x:c>
      <x:c r="T288" s="6" t="str">
        <x:v>独立模型相对原场景的变化：单条上层退台改为对角双翼层间拓扑。旧附件须按本模型重绘，旧数值仅作对照。</x:v>
      </x:c>
      <x:c r="U288" s="6" t="str">
        <x:v>由独立审阅的YJK原生工程形成同版本、同参数的参考结果；核对实际楼层/构件属性、题定荷载合力及力矩平衡，并保存两个顶翼外角Uz、共享中心节点Ux的原始索引。原生人工参考模型不代表当前自动接口已接通。</x:v>
      </x:c>
      <x:c r="V288" s="6" t="str">
        <x:v>不规则楼面荷载映射需验证；本题新增几何/属性与真值均待独立核验；材料截面代号须在本题附录定值。</x:v>
      </x:c>
      <x:c r="W288" s="6" t="str">
        <x:v>规划，待编题与验证</x:v>
      </x:c>
      <x:c r="X288" s="6" t="str">
        <x:v>YJK（原生建筑模型主选，精确可表达性须验证）；PKPM（原生候选待核）；OpenSees（独立力学建模候选）。适用候选不等于现有接口已接入。</x:v>
      </x:c>
      <x:c r="Y288" s="19" t="str">
        <x:v>YJK</x:v>
      </x:c>
      <x:c r="Z288" s="6" t="str">
        <x:v>建筑上层对角双翼及层间不规则连接，规划YJK原生项目研究真实楼层重建；不得借默认楼板增加约束。</x:v>
      </x:c>
      <x:c r="AA288" s="6" t="str">
        <x:v>原生项目逐层建立对角双翼与唯一共享角节点，不用刚性楼板把两翼额外绑在一起；逐层拓扑/分区线载须完整回读；执行后按原题完整输出：两个顶翼外角Uz、共享中心节点Ux；附与数值一致的模型/结果图。本轮仅规划，不运行。</x:v>
      </x:c>
      <x:c r="AB288" s="6" t="str">
        <x:v>存在已知接口缺口</x:v>
      </x:c>
      <x:c r="AC288" s="6" t="str">
        <x:v>当前YJK完整规则梁柱网不能表达逐层不同双翼范围和唯一共享角节点；两翼不同梁线载也非统一楼面输入。需局部拓扑/载荷接口并验证关闭默认刚性楼板。</x:v>
      </x:c>
      <x:c r="AD288" s="6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首层实际梁向下10kN/m，顶层前左翼8、后右翼6kN/m；未指定组合时仅算题定基本荷载，指定组合逐组执行，不能用软件默认包络替换。</x:v>
      </x:c>
      <x:c r="AE288" s="6" t="str">
        <x:v>计划保存输入PNG/DXF及图中构件/标签→计算节点/构件ID映射、YJK原生工程及接口导入/回读差异、引擎版本与设置快照、实际运行日志、原始结果表/观测点索引、可视图所用数据。</x:v>
      </x:c>
      <x:c r="AF288" s="6" t="str">
        <x:v>YJK；COMMON</x:v>
      </x:c>
    </x:row>
    <x:row r="289" ht="108" customHeight="1">
      <x:c r="A289" s="14" t="str">
        <x:v>MM-088</x:v>
      </x:c>
      <x:c r="B289" s="11" t="str">
        <x:v>多模态逆向建模</x:v>
      </x:c>
      <x:c r="C289" s="18" t="str">
        <x:v>M-MM-088</x:v>
      </x:c>
      <x:c r="D289" s="11" t="str">
        <x:v>带顶层平面斜撑的空间框架：图表联合</x:v>
      </x:c>
      <x:c r="E289" s="11" t="str">
        <x:v>空间框架</x:v>
      </x:c>
      <x:c r="F289" s="18" t="str">
        <x:v>3D</x:v>
      </x:c>
      <x:c r="G289" s="11" t="str">
        <x:v>图表联合</x:v>
      </x:c>
      <x:c r="H289" s="18" t="str">
        <x:v>L3</x:v>
      </x:c>
      <x:c r="I289" s="11" t="str">
        <x:v>平面斜撑不是立面斜柱，跨越中间梁但不设中间连接。</x:v>
      </x:c>
      <x:c r="J289" s="18" t="str">
        <x:v>英文</x:v>
      </x:c>
      <x:c r="K289" s="11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89" s="22" t="n">
        <x:v>1</x:v>
      </x:c>
      <x:c r="M289" s="11" t="str">
        <x:v>几何：X网格0、6、12m，Y网格0、5m，两层各3.6m，完整梁柱网；顶层增加仅承轴力斜杆从(0,0,7.2)连至(12,5,7.2)m，中途穿越处不连接；边界：六柱脚固定；荷载：D各梁向下8kN/m，WX顶层(12,5)节点Fx=20kN，WY顶层(0,5)节点Fy=15kN；组合D、D+WX、D+WY；属性：M1、柱C1、梁B1、斜杆A1，无刚性楼板。（本栏是编题规格，实际用户输入按图/表分工呈现。）</x:v>
      </x:c>
      <x:c r="N289" s="11" t="str">
        <x:v>平面斜撑不是立面斜柱，跨越中间梁但不设中间连接。</x:v>
      </x:c>
      <x:c r="O289" s="11" t="str">
        <x:v>两侧载组合顶层(12,5)Ux/Uy、斜撑轴力；附与数值一致的模型/结果图。</x:v>
      </x:c>
      <x:c r="P289" s="11" t="str">
        <x:v>模型核对：普通空间框架增加实际屋盖轴力斜撑，不能以默认刚性楼板替代。；数值/表述核对：两侧载组合顶层(12,5)Ux/Uy、斜撑轴力，位置、方向、单位须一致。</x:v>
      </x:c>
      <x:c r="Q289" s="18" t="str">
        <x:v>新增</x:v>
      </x:c>
      <x:c r="R289" s="11" t="str">
        <x:v>无</x:v>
      </x:c>
      <x:c r="S289" s="11" t="str">
        <x:v>无</x:v>
      </x:c>
      <x:c r="T289" s="11" t="str">
        <x:v>独立模型相对原场景的变化：普通空间框架增加实际屋盖轴力斜撑，不能以默认刚性楼板替代。旧附件须按本模型重绘，旧数值仅作对照。</x:v>
      </x:c>
      <x:c r="U289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89" s="11" t="str">
        <x:v>多组合执行契约需验证；本题新增几何/属性与真值均待独立核验；材料截面代号须在本题附录定值。梁柱与轴力杆混合单元链路待验证。</x:v>
      </x:c>
      <x:c r="W289" s="11" t="str">
        <x:v>规划，待编题与验证</x:v>
      </x:c>
      <x:c r="X289" s="11" t="str">
        <x:v>OpenSees（主选）；YJK/PKPM（原生工程候选，其特殊构件/边界可表达性及接入另核，不作为当前已接入能力）。</x:v>
      </x:c>
      <x:c r="Y289" s="18" t="str">
        <x:v>OpenSees</x:v>
      </x:c>
      <x:c r="Z289" s="11" t="str">
        <x:v>题目核心是实际轴力屋盖斜撑与梁柱混合传力，以及跨越梁不连接的语义；规划OpenSees显式混合单元，保持无默认刚性楼板。</x:v>
      </x:c>
      <x:c r="AA289" s="11" t="str">
        <x:v>先验梁柱与轴力平面斜撑混合单元；斜杆中途跨梁不连接，分别执行三组合；执行后按原题完整输出：两侧载组合顶层(12,5)Ux/Uy、斜撑轴力；附与数值一致的模型/结果图。本轮仅规划，不运行。</x:v>
      </x:c>
      <x:c r="AB289" s="11" t="str">
        <x:v>待逐题验证</x:v>
      </x:c>
      <x:c r="AC289" s="11" t="str">
        <x:v>尚未确认本题可通过；接口/求解/读回预检重点：先验梁柱与轴力平面斜撑混合单元；斜杆中途跨梁不连接，分别执行三组合。特殊单元、轴向、边界及组合均不因OpenSees原生支持而视作已接通。</x:v>
      </x:c>
      <x:c r="AD289" s="11" t="str">
        <x:v>一阶线弹性；自重OFF并保存配置；按附录实际E/A/I/J，不套默认刚度折减；无默认刚性楼板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D各梁向下8kN/m，WX顶层(12,5)节点Fx=20kN，WY顶层(0,5)节点Fy=15kN；组合D、D+WX、D+WY；未指定组合时仅算题定基本荷载，指定组合逐组执行，不能用软件默认包络替换。</x:v>
      </x:c>
      <x:c r="AE28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89" s="11" t="str">
        <x:v>OPS；COMMON</x:v>
      </x:c>
    </x:row>
    <x:row r="290" ht="121.5" customHeight="1">
      <x:c r="A290" s="15" t="str">
        <x:v>MM-089</x:v>
      </x:c>
      <x:c r="B290" s="6" t="str">
        <x:v>多模态逆向建模</x:v>
      </x:c>
      <x:c r="C290" s="19" t="str">
        <x:v>M-MM-089</x:v>
      </x:c>
      <x:c r="D290" s="6" t="str">
        <x:v>内柱铰基多组截面空间框架：图表联合</x:v>
      </x:c>
      <x:c r="E290" s="6" t="str">
        <x:v>空间框架</x:v>
      </x:c>
      <x:c r="F290" s="19" t="str">
        <x:v>3D</x:v>
      </x:c>
      <x:c r="G290" s="6" t="str">
        <x:v>图表联合</x:v>
      </x:c>
      <x:c r="H290" s="19" t="str">
        <x:v>L3</x:v>
      </x:c>
      <x:c r="I290" s="6" t="str">
        <x:v>柱位置、支座类型和六种截面组同时由平面与表格规定。</x:v>
      </x:c>
      <x:c r="J290" s="19" t="str">
        <x:v>中文</x:v>
      </x:c>
      <x:c r="K290" s="6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90" s="23" t="n">
        <x:v>1</x:v>
      </x:c>
      <x:c r="M290" s="6" t="str">
        <x:v>几何：X网格0、4、8、12m，Y网格0、5、10m，两层各3.6m，完整3×2跨梁柱网；边界：两根内柱底仅约束三向平移、释放旋转，其余底柱六自由度固定；荷载：各梁向下8kN/m，顶层远角Fx=20、Fy=10kN；属性：钢M1，角/边/内柱C1/C2/C3，Y梁B1、外排X梁B2、中央排X梁B3，无刚性楼板。（本栏是编题规格，实际用户输入按图/表分工呈现。）</x:v>
      </x:c>
      <x:c r="N290" s="6" t="str">
        <x:v>柱位置、支座类型和六种截面组同时由平面与表格规定。</x:v>
      </x:c>
      <x:c r="O290" s="6" t="str">
        <x:v>顶层远角Ux/Uy、两内柱底轴力；附与数值一致的模型/结果图。</x:v>
      </x:c>
      <x:c r="P290" s="6" t="str">
        <x:v>模型核对：2×2跨改为3×2跨并采用内柱铰基及中央排梁单独截面组。；数值/表述核对：顶层远角Ux/Uy、两内柱底轴力，位置、方向、单位须一致。</x:v>
      </x:c>
      <x:c r="Q290" s="19" t="str">
        <x:v>新增</x:v>
      </x:c>
      <x:c r="R290" s="6" t="str">
        <x:v>无</x:v>
      </x:c>
      <x:c r="S290" s="6" t="str">
        <x:v>无</x:v>
      </x:c>
      <x:c r="T290" s="6" t="str">
        <x:v>独立模型相对原场景的变化：2×2跨改为3×2跨并采用内柱铰基及中央排梁单独截面组。旧附件须按本模型重绘，旧数值仅作对照。</x:v>
      </x:c>
      <x:c r="U290" s="6" t="str">
        <x:v>由独立审阅的PKPM原生工程形成同版本、同参数的参考结果；核对实际楼层/构件属性、题定荷载合力及力矩平衡，并保存顶层远角Ux/Uy、两内柱底轴力的原始索引。原生人工参考模型不代表当前自动接口已接通。</x:v>
      </x:c>
      <x:c r="V290" s="6" t="str">
        <x:v>基础工具；本题新增几何/属性与真值均待独立核验；材料截面代号须在本题附录定值。</x:v>
      </x:c>
      <x:c r="W290" s="6" t="str">
        <x:v>规划，待编题与验证</x:v>
      </x:c>
      <x:c r="X290" s="6" t="str">
        <x:v>PKPM（原生建筑模型主选，精确可表达性须验证）；YJK（原生候选待核）；OpenSees（独立力学建模候选）。适用候选不等于现有接口已接入。</x:v>
      </x:c>
      <x:c r="Y290" s="19" t="str">
        <x:v>PKPM</x:v>
      </x:c>
      <x:c r="Z290" s="6" t="str">
        <x:v>完整3×2跨楼层建筑按角/边/内柱及梁排分组，含内柱铰基，规划PKPM原生项目做构件组和基础边界校核。</x:v>
      </x:c>
      <x:c r="AA290" s="6" t="str">
        <x:v>原生项目保持六组截面与两内柱铰基，梁线载/角点侧力须原位录入；验证各组属性和轴力输出通道；执行后按原题完整输出：顶层远角Ux/Uy、两内柱底轴力；附与数值一致的模型/结果图。本轮仅规划，不运行。</x:v>
      </x:c>
      <x:c r="AB290" s="6" t="str">
        <x:v>存在已知接口缺口</x:v>
      </x:c>
      <x:c r="AC290" s="6" t="str">
        <x:v>当前PKPM主要接DL/LL楼面荷载，本题逐梁线载与角点Fx/Fy需要新映射；内柱三平移约束/转角释放、六组截面的原生字段与接口回读尚待验证，不得替换成统一固定柱脚或单组属性。</x:v>
      </x:c>
      <x:c r="AD290" s="6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各梁向下8kN/m，顶层远角Fx=20、Fy=10kN；未指定组合时仅算题定基本荷载，指定组合逐组执行，不能用软件默认包络替换。</x:v>
      </x:c>
      <x:c r="AE290" s="6" t="str">
        <x:v>计划保存输入PNG/DXF及图中构件/标签→计算节点/构件ID映射、PKPM原生工程及接口导入/回读差异、引擎版本与设置快照、实际运行日志、原始结果表/观测点索引、可视图所用数据。</x:v>
      </x:c>
      <x:c r="AF290" s="6" t="str">
        <x:v>PKPM；COMMON</x:v>
      </x:c>
    </x:row>
    <x:row r="291" ht="94.5" customHeight="1">
      <x:c r="A291" s="14" t="str">
        <x:v>MM-090</x:v>
      </x:c>
      <x:c r="B291" s="11" t="str">
        <x:v>多模态逆向建模</x:v>
      </x:c>
      <x:c r="C291" s="18" t="str">
        <x:v>M-MM-090</x:v>
      </x:c>
      <x:c r="D291" s="11" t="str">
        <x:v>角柱铰基与分段轴向旋转框架：多视图重建</x:v>
      </x:c>
      <x:c r="E291" s="11" t="str">
        <x:v>空间框架</x:v>
      </x:c>
      <x:c r="F291" s="18" t="str">
        <x:v>3D</x:v>
      </x:c>
      <x:c r="G291" s="11" t="str">
        <x:v>多视图重建</x:v>
      </x:c>
      <x:c r="H291" s="18" t="str">
        <x:v>L3</x:v>
      </x:c>
      <x:c r="I291" s="11" t="str">
        <x:v>柱的上段朝向不能覆盖下段，角柱铰基又改变空间约束。</x:v>
      </x:c>
      <x:c r="J291" s="18" t="str">
        <x:v>英文</x:v>
      </x:c>
      <x:c r="K291" s="11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91" s="22" t="n">
        <x:v>1</x:v>
      </x:c>
      <x:c r="M291" s="11" t="str">
        <x:v>几何：X网格0、6m，Y网格0、5、10m，两层各3.6m，完整梁柱网；边界：前左底柱三向平移固定但旋转释放，其余五底柱固定；荷载：全部梁向下8kN/m，后右顶点Fx=20、Fy=15kN；属性：钢M1、矩形柱C1、梁B1；仅前左和后右柱的上层段局部轴旋转90度，下层段保持原向，无刚性楼板。（本栏是编题规格，实际用户输入按图/表分工呈现。）</x:v>
      </x:c>
      <x:c r="N291" s="11" t="str">
        <x:v>柱的上段朝向不能覆盖下段，角柱铰基又改变空间约束。</x:v>
      </x:c>
      <x:c r="O291" s="11" t="str">
        <x:v>后右顶点Ux/Uy、前左上柱双向弯矩；附与数值一致的模型/结果图。</x:v>
      </x:c>
      <x:c r="P291" s="11" t="str">
        <x:v>模型核对：局部柱轴旋转扩展为仅上层段旋转，并新增一个铰接角柱基础。；数值/表述核对：后右顶点Ux/Uy、前左上柱双向弯矩，位置、方向、单位须一致。</x:v>
      </x:c>
      <x:c r="Q291" s="18" t="str">
        <x:v>新增</x:v>
      </x:c>
      <x:c r="R291" s="11" t="str">
        <x:v>无</x:v>
      </x:c>
      <x:c r="S291" s="11" t="str">
        <x:v>无</x:v>
      </x:c>
      <x:c r="T291" s="11" t="str">
        <x:v>独立模型相对原场景的变化：局部柱轴旋转扩展为仅上层段旋转，并新增一个铰接角柱基础。旧附件须按本模型重绘，旧数值仅作对照。</x:v>
      </x:c>
      <x:c r="U291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91" s="11" t="str">
        <x:v>局部轴输入与适配需验证；本题新增几何/属性与真值均待独立核验；材料截面代号须在本题附录定值。</x:v>
      </x:c>
      <x:c r="W291" s="11" t="str">
        <x:v>规划，待编题与验证</x:v>
      </x:c>
      <x:c r="X291" s="11" t="str">
        <x:v>OpenSees（主选）；YJK/PKPM（原生工程候选，其特殊构件/边界可表达性及接入另核，不作为当前已接入能力）。</x:v>
      </x:c>
      <x:c r="Y291" s="18" t="str">
        <x:v>OpenSees</x:v>
      </x:c>
      <x:c r="Z291" s="11" t="str">
        <x:v>题目核心是仅上层柱段的局部轴旋转、强弱轴与铰基共同作用；规划OpenSees逐构件变换与约束，避免把分段朝向压成整柱属性。</x:v>
      </x:c>
      <x:c r="AA291" s="11" t="str">
        <x:v>分别给上下柱段局部轴，角柱只约束三平移；不得用全柱旋转替代上段旋转；执行后按原题完整输出：后右顶点Ux/Uy、前左上柱双向弯矩；附与数值一致的模型/结果图。本轮仅规划，不运行。</x:v>
      </x:c>
      <x:c r="AB291" s="11" t="str">
        <x:v>待逐题验证</x:v>
      </x:c>
      <x:c r="AC291" s="11" t="str">
        <x:v>尚未确认本题可通过；接口/求解/读回预检重点：分别给上下柱段局部轴，角柱只约束三平移；不得用全柱旋转替代上段旋转。特殊单元、轴向、边界及组合均不因OpenSees原生支持而视作已接通。</x:v>
      </x:c>
      <x:c r="AD291" s="11" t="str">
        <x:v>一阶线弹性；自重OFF并保存配置；按附录实际E/A/I/J，不套默认刚度折减；无默认刚性楼板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全部梁向下8kN/m，后右顶点Fx=20、Fy=15kN；未指定组合时仅算题定基本荷载，指定组合逐组执行，不能用软件默认包络替换。</x:v>
      </x:c>
      <x:c r="AE291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91" s="11" t="str">
        <x:v>OPS；COMMON</x:v>
      </x:c>
    </x:row>
    <x:row r="292" ht="121.5" customHeight="1">
      <x:c r="A292" s="15" t="str">
        <x:v>MM-091</x:v>
      </x:c>
      <x:c r="B292" s="6" t="str">
        <x:v>多模态逆向建模</x:v>
      </x:c>
      <x:c r="C292" s="19" t="str">
        <x:v>M-MM-091</x:v>
      </x:c>
      <x:c r="D292" s="6" t="str">
        <x:v>局部缺梁且偏区加载空间框架：结构DXF</x:v>
      </x:c>
      <x:c r="E292" s="6" t="str">
        <x:v>空间框架</x:v>
      </x:c>
      <x:c r="F292" s="19" t="str">
        <x:v>3D</x:v>
      </x:c>
      <x:c r="G292" s="6" t="str">
        <x:v>结构DXF</x:v>
      </x:c>
      <x:c r="H292" s="19" t="str">
        <x:v>L3</x:v>
      </x:c>
      <x:c r="I292" s="6" t="str">
        <x:v>图中缺梁位于未加活载区，荷载框线不可被误建为实体梁。</x:v>
      </x:c>
      <x:c r="J292" s="19" t="str">
        <x:v>中文</x:v>
      </x:c>
      <x:c r="K292" s="6" t="str">
        <x:v>新结构DXF的实体、尺寸及连接符号给本题几何/拓扑/支座；荷载标注或区域标签关联载荷表；完整属性另附，源单位与坐标映射显式给定。所有新附件待制作、盲审与验证。</x:v>
      </x:c>
      <x:c r="L292" s="23" t="n">
        <x:v>1</x:v>
      </x:c>
      <x:c r="M292" s="6" t="str">
        <x:v>几何：X网格0、6、12m，Y网格0、5、10m，两层各3.6m；柱网完整，顶层删除x=6m、y=0至5m的Y梁，其余梁完整；边界：九底柱脚固定；荷载：D所有实际梁向下8kN/m，L仅顶层后右格四条边梁向下6kN/m，每根只加一次；组合D、D+L；属性：钢M1、柱C1、梁B1，无刚性楼板。（本栏是编题规格，实际用户输入按图/表分工呈现。）</x:v>
      </x:c>
      <x:c r="N292" s="6" t="str">
        <x:v>图中缺梁位于未加活载区，荷载框线不可被误建为实体梁。</x:v>
      </x:c>
      <x:c r="O292" s="6" t="str">
        <x:v>顶层既有节点(12,10,7.2)m及中心节点(6,5,7.2)m的Uz；分别报告D与D+L，附模型/结果图。</x:v>
      </x:c>
      <x:c r="P292" s="6" t="str">
        <x:v>模型核对：顶层局部缺梁与后右格活载边梁归属，活载不重复；数值/表述核对既有顶层节点(12,10,7.2)m及(6,5,7.2)m的Uz，分别对应D与D+L。</x:v>
      </x:c>
      <x:c r="Q292" s="19" t="str">
        <x:v>新增</x:v>
      </x:c>
      <x:c r="R292" s="6" t="str">
        <x:v>无</x:v>
      </x:c>
      <x:c r="S292" s="6" t="str">
        <x:v>无</x:v>
      </x:c>
      <x:c r="T292" s="6" t="str">
        <x:v>独立模型相对原场景的变化：规则梁网增加一处局部缺梁，活载作用在另一区域，区分拓扑与载荷证据。旧附件须按本模型重绘，旧数值仅作对照。</x:v>
      </x:c>
      <x:c r="U292" s="6" t="str">
        <x:v>由独立审阅的YJK原生工程形成同版本、同参数的参考结果；核对实际楼层/构件属性、题定荷载合力及力矩平衡，并保存顶层既有节点(12,10,7.2)m及中心节点(6,5,7.2)m的Uz；分别报告D与D+L，附模型/结果图。的原始索引。原生人工参考模型不代表当前自动接口已接通。</x:v>
      </x:c>
      <x:c r="V292" s="6" t="str">
        <x:v>基础工具；本题新增几何/属性与真值均待独立核验；材料截面代号须在本题附录定值。多组合执行契约待验证（D与D+L分别执行、保存和取值）。</x:v>
      </x:c>
      <x:c r="W292" s="6" t="str">
        <x:v>规划，待编题与验证</x:v>
      </x:c>
      <x:c r="X292" s="6" t="str">
        <x:v>YJK（原生建筑模型主选，精确可表达性须验证）；PKPM（原生候选待核）；OpenSees（独立力学建模候选）。适用候选不等于现有接口已接入。</x:v>
      </x:c>
      <x:c r="Y292" s="19" t="str">
        <x:v>YJK</x:v>
      </x:c>
      <x:c r="Z292" s="6" t="str">
        <x:v>楼层建筑中的局部缺梁、单分区活载与两个服务组合，规划YJK原生分析并保留现有节点结果位置。</x:v>
      </x:c>
      <x:c r="AA292" s="6" t="str">
        <x:v>原生项目保留顶层局部缺梁和后右格边梁活载，验证D及D+L组合逐组读取两个既有节点Uz；执行后按原题完整输出：顶层既有节点(12,10,7.2)m及中心节点(6,5,7.2)m的Uz；分别报告D与D+L，附模型/结果图。本轮仅规划，不运行。</x:v>
      </x:c>
      <x:c r="AB292" s="6" t="str">
        <x:v>存在已知接口缺口</x:v>
      </x:c>
      <x:c r="AC292" s="6" t="str">
        <x:v>当前YJK完整梁网不能保留顶层局部缺梁；直接梁线载和分区边梁活载不能由统一DL/LL楼面载代替；D及D+L自定义组合尚无已验证映射，须逐组保存与读取。</x:v>
      </x:c>
      <x:c r="AD292" s="6" t="str">
        <x:v>一阶线弹性；自重OFF并保存配置；按附录实际E/A/I/J，不套默认刚度折减；无默认刚性楼板。原生工程须显式关闭自重、自动组合/地震及影响该契约的默认设置，导出配置核对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D所有实际梁向下8kN/m，L仅顶层后右格四条边梁向下6kN/m，每根只加一次；组合D、D+L；未指定组合时仅算题定基本荷载，指定组合逐组执行，不能用软件默认包络替换。</x:v>
      </x:c>
      <x:c r="AE292" s="6" t="str">
        <x:v>计划保存输入PNG/DXF及图中构件/标签→计算节点/构件ID映射、YJK原生工程及接口导入/回读差异、引擎版本与设置快照、实际运行日志、原始结果表/观测点索引、可视图所用数据。</x:v>
      </x:c>
      <x:c r="AF292" s="6" t="str">
        <x:v>YJK；COMMON</x:v>
      </x:c>
    </x:row>
    <x:row r="293" ht="94.5" customHeight="1">
      <x:c r="A293" s="14" t="str">
        <x:v>MM-092</x:v>
      </x:c>
      <x:c r="B293" s="11" t="str">
        <x:v>多模态逆向建模</x:v>
      </x:c>
      <x:c r="C293" s="18" t="str">
        <x:v>M-MM-092</x:v>
      </x:c>
      <x:c r="D293" s="11" t="str">
        <x:v>双坡空间屋盖框架：多视图重建</x:v>
      </x:c>
      <x:c r="E293" s="11" t="str">
        <x:v>空间框架</x:v>
      </x:c>
      <x:c r="F293" s="18" t="str">
        <x:v>3D</x:v>
      </x:c>
      <x:c r="G293" s="11" t="str">
        <x:v>多视图重建</x:v>
      </x:c>
      <x:c r="H293" s="18" t="str">
        <x:v>L3</x:v>
      </x:c>
      <x:c r="I293" s="11" t="str">
        <x:v>两侧坡向相反且有一整条屋脊柱线，多视图共同确定。</x:v>
      </x:c>
      <x:c r="J293" s="18" t="str">
        <x:v>英文</x:v>
      </x:c>
      <x:c r="K293" s="11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93" s="22" t="n">
        <x:v>1</x:v>
      </x:c>
      <x:c r="M293" s="11" t="str">
        <x:v>几何：单层X网格0、6、12m，Y网格0、5m；x=0及12m列柱顶z=6m，x=6m列柱顶z=8m，各网格相邻顶点刚接屋面梁；边界：六柱脚固定；荷载：所有屋面梁按实际长度全局向下6kN/m；属性：钢M1、柱C1、坡向X梁B1、Y梁B2，无刚性楼板。（本栏是编题规格，实际用户输入按图/表分工呈现。）</x:v>
      </x:c>
      <x:c r="N293" s="11" t="str">
        <x:v>两侧坡向相反且有一整条屋脊柱线，多视图共同确定。</x:v>
      </x:c>
      <x:c r="O293" s="11" t="str">
        <x:v>前后两个屋脊节点Uz、外侧柱脚弯矩；附与数值一致的模型/结果图。</x:v>
      </x:c>
      <x:c r="P293" s="11" t="str">
        <x:v>模型核对：单坡空间屋盖改为双坡屋盖及中部屋脊柱列。；数值/表述核对：前后两个屋脊节点Uz、外侧柱脚弯矩，位置、方向、单位须一致。</x:v>
      </x:c>
      <x:c r="Q293" s="18" t="str">
        <x:v>新增</x:v>
      </x:c>
      <x:c r="R293" s="11" t="str">
        <x:v>无</x:v>
      </x:c>
      <x:c r="S293" s="11" t="str">
        <x:v>无</x:v>
      </x:c>
      <x:c r="T293" s="11" t="str">
        <x:v>独立模型相对原场景的变化：单坡空间屋盖改为双坡屋盖及中部屋脊柱列。旧附件须按本模型重绘，旧数值仅作对照。</x:v>
      </x:c>
      <x:c r="U293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93" s="11" t="str">
        <x:v>斜杆荷载与局部轴需验证；本题新增几何/属性与真值均待独立核验；材料截面代号须在本题附录定值。斜杆全局荷载和局部轴适配待验证。</x:v>
      </x:c>
      <x:c r="W293" s="11" t="str">
        <x:v>规划，待编题与验证</x:v>
      </x:c>
      <x:c r="X293" s="11" t="str">
        <x:v>OpenSees（主选）；YJK/PKPM（原生工程候选，其特殊构件/边界可表达性及接入另核，不作为当前已接入能力）。</x:v>
      </x:c>
      <x:c r="Y293" s="18" t="str">
        <x:v>OpenSees</x:v>
      </x:c>
      <x:c r="Z293" s="11" t="str">
        <x:v>题目核心是三维双坡梁的真实坡长、全局竖载及局部轴投影，规划OpenSees逐杆定义和验证空间坡梁响应。</x:v>
      </x:c>
      <x:c r="AA293" s="11" t="str">
        <x:v>三维坡梁逐段定义局部轴，真实坡长计荷载，屋脊柱与两侧斜梁共节点；执行后按原题完整输出：前后两个屋脊节点Uz、外侧柱脚弯矩；附与数值一致的模型/结果图。本轮仅规划，不运行。</x:v>
      </x:c>
      <x:c r="AB293" s="11" t="str">
        <x:v>待逐题验证</x:v>
      </x:c>
      <x:c r="AC293" s="11" t="str">
        <x:v>尚未确认本题可通过；接口/求解/读回预检重点：三维坡梁逐段定义局部轴，真实坡长计荷载，屋脊柱与两侧斜梁共节点。特殊单元、轴向、边界及组合均不因OpenSees原生支持而视作已接通。</x:v>
      </x:c>
      <x:c r="AD293" s="11" t="str">
        <x:v>一阶线弹性；自重OFF并保存配置；按附录实际E/A/I/J，不套默认刚度折减；无默认刚性楼板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所有屋面梁按实际长度全局向下6kN/m；未指定组合时仅算题定基本荷载，指定组合逐组执行，不能用软件默认包络替换。</x:v>
      </x:c>
      <x:c r="AE293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93" s="11" t="str">
        <x:v>OPS；COMMON</x:v>
      </x:c>
    </x:row>
    <x:row r="294" ht="94.5" customHeight="1">
      <x:c r="A294" s="15" t="str">
        <x:v>MM-093</x:v>
      </x:c>
      <x:c r="B294" s="6" t="str">
        <x:v>多模态逆向建模</x:v>
      </x:c>
      <x:c r="C294" s="19" t="str">
        <x:v>M-MM-093</x:v>
      </x:c>
      <x:c r="D294" s="6" t="str">
        <x:v>上下层反侧支撑空间框架：工程标注图</x:v>
      </x:c>
      <x:c r="E294" s="6" t="str">
        <x:v>空间框架</x:v>
      </x:c>
      <x:c r="F294" s="19" t="str">
        <x:v>3D</x:v>
      </x:c>
      <x:c r="G294" s="6" t="str">
        <x:v>工程标注图</x:v>
      </x:c>
      <x:c r="H294" s="19" t="str">
        <x:v>L3</x:v>
      </x:c>
      <x:c r="I294" s="6" t="str">
        <x:v>两层支撑分别位于相反立面，轴测投影不能把它们合到同一面。</x:v>
      </x:c>
      <x:c r="J294" s="19" t="str">
        <x:v>中文</x:v>
      </x:c>
      <x:c r="K294" s="6" t="str">
        <x:v>新工程PNG的总图/局部详图给本题几何、连接、支承和荷载位置；图中构件索引关联完整属性表，正文不重述拓扑。所有新附件待制作、盲审与验证。</x:v>
      </x:c>
      <x:c r="L294" s="23" t="n">
        <x:v>1</x:v>
      </x:c>
      <x:c r="M294" s="6" t="str">
        <x:v>几何：6m×5m平面、两层各3.6m完整刚接梁柱框架；第一层前侧Y=0立面设X形轴力支撑，第二层后侧Y=5立面设X形轴力支撑，所有交叉处不连接；边界：四柱脚固定；荷载：各梁向下8kN/m，顶层右后角Fx=20、Fy=15kN；属性：钢M1、柱C1、梁B1、支撑A1，无刚性楼板。（本栏是编题规格，实际用户输入按图/表分工呈现。）</x:v>
      </x:c>
      <x:c r="N294" s="6" t="str">
        <x:v>两层支撑分别位于相反立面，轴测投影不能把它们合到同一面。</x:v>
      </x:c>
      <x:c r="O294" s="6" t="str">
        <x:v>顶层右后角Ux/Uy、首层前侧斜撑轴力；附与数值一致的模型/结果图。</x:v>
      </x:c>
      <x:c r="P294" s="6" t="str">
        <x:v>模型核对：同一侧局部支撑改为上下层反侧支撑，形成空间不对称传力。；数值/表述核对：顶层右后角Ux/Uy、首层前侧斜撑轴力，位置、方向、单位须一致。</x:v>
      </x:c>
      <x:c r="Q294" s="19" t="str">
        <x:v>新增</x:v>
      </x:c>
      <x:c r="R294" s="6" t="str">
        <x:v>无</x:v>
      </x:c>
      <x:c r="S294" s="6" t="str">
        <x:v>无</x:v>
      </x:c>
      <x:c r="T294" s="6" t="str">
        <x:v>独立模型相对原场景的变化：同一侧局部支撑改为上下层反侧支撑，形成空间不对称传力。旧附件须按本模型重绘，旧数值仅作对照。</x:v>
      </x:c>
      <x:c r="U294" s="6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94" s="6" t="str">
        <x:v>混合单元工具链需验证；本题新增几何/属性与真值均待独立核验；材料截面代号须在本题附录定值。梁柱与轴力杆混合单元链路待验证。</x:v>
      </x:c>
      <x:c r="W294" s="6" t="str">
        <x:v>规划，待编题与验证</x:v>
      </x:c>
      <x:c r="X294" s="6" t="str">
        <x:v>OpenSees（主选）；YJK/PKPM（原生工程候选，其特殊构件/边界可表达性及接入另核，不作为当前已接入能力）。</x:v>
      </x:c>
      <x:c r="Y294" s="19" t="str">
        <x:v>OpenSees</x:v>
      </x:c>
      <x:c r="Z294" s="6" t="str">
        <x:v>题目核心是不同楼层/不同立面的轴力X撑与刚接梁柱混合响应；规划OpenSees显式定义单元类型和交叉不连接。</x:v>
      </x:c>
      <x:c r="AA294" s="6" t="str">
        <x:v>先验混合单元与三维自由度兼容；首层前侧/二层后侧X撑交叉不连，轴力结果定位到实际支撑；执行后按原题完整输出：顶层右后角Ux/Uy、首层前侧斜撑轴力；附与数值一致的模型/结果图。本轮仅规划，不运行。</x:v>
      </x:c>
      <x:c r="AB294" s="6" t="str">
        <x:v>待逐题验证</x:v>
      </x:c>
      <x:c r="AC294" s="6" t="str">
        <x:v>尚未确认本题可通过；接口/求解/读回预检重点：先验混合单元与三维自由度兼容；首层前侧/二层后侧X撑交叉不连，轴力结果定位到实际支撑。特殊单元、轴向、边界及组合均不因OpenSees原生支持而视作已接通。</x:v>
      </x:c>
      <x:c r="AD294" s="6" t="str">
        <x:v>一阶线弹性；自重OFF并保存配置；按附录实际E/A/I/J，不套默认刚度折减；无默认刚性楼板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各梁向下8kN/m，顶层右后角Fx=20、Fy=15kN；未指定组合时仅算题定基本荷载，指定组合逐组执行，不能用软件默认包络替换。</x:v>
      </x:c>
      <x:c r="AE294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94" s="6" t="str">
        <x:v>OPS；COMMON</x:v>
      </x:c>
    </x:row>
    <x:row r="295" ht="121.5" customHeight="1">
      <x:c r="A295" s="14" t="str">
        <x:v>MM-094</x:v>
      </x:c>
      <x:c r="B295" s="11" t="str">
        <x:v>多模态逆向建模</x:v>
      </x:c>
      <x:c r="C295" s="18" t="str">
        <x:v>M-MM-094</x:v>
      </x:c>
      <x:c r="D295" s="11" t="str">
        <x:v>基础错高的源坐标空间框架：多视图重建</x:v>
      </x:c>
      <x:c r="E295" s="11" t="str">
        <x:v>空间框架</x:v>
      </x:c>
      <x:c r="F295" s="18" t="str">
        <x:v>3D</x:v>
      </x:c>
      <x:c r="G295" s="11" t="str">
        <x:v>多视图重建</x:v>
      </x:c>
      <x:c r="H295" s="18" t="str">
        <x:v>L3</x:v>
      </x:c>
      <x:c r="I295" s="11" t="str">
        <x:v>右手源坐标到右手全局坐标的变换必须同时作用于不同基础标高、约束方向和三向荷载。</x:v>
      </x:c>
      <x:c r="J295" s="18" t="str">
        <x:v>英文</x:v>
      </x:c>
      <x:c r="K295" s="11" t="str">
        <x:v>新平面及正交立面/局部截面PNG共同给本题空间几何、连接与朝向；附录给明确约束、荷载向量、完整属性和视图轴约定，不直接给完整节点坐标答案。所有新附件待制作、盲审与验证。源坐标(u,v,w)为右手、v向上；明确映射(X,Y,Z)=(u,-w,v)，图中荷载按源坐标给出。</x:v>
      </x:c>
      <x:c r="L295" s="22" t="n">
        <x:v>1</x:v>
      </x:c>
      <x:c r="M295" s="11" t="str">
        <x:v>几何：全局X网格0、4、11m，Y网格0、6m，楼层z=3.5、7.5m；前排柱底z=0、后排柱底z=-1m，梁柱网完整；右手源坐标(u,v,w)以v向上，按(X,Y,Z)=(u,-w,v)转换；边界：六实际柱脚固定；荷载：各梁全局向下8kN/m，前右顶点源坐标力(Fu,Fv,Fw)=(10,-20,5)kN；属性：钢M1、柱C1、梁B1，无刚性楼板。（本栏是编题规格，实际用户输入按图/表分工呈现。）</x:v>
      </x:c>
      <x:c r="N295" s="11" t="str">
        <x:v>右手源坐标到右手全局坐标的变换必须同时作用于不同基础标高、约束方向和三向荷载。</x:v>
      </x:c>
      <x:c r="O295" s="11" t="str">
        <x:v>前右顶点全局Ux/Uy/Uz、后右柱脚反力；附与数值一致的模型/结果图。</x:v>
      </x:c>
      <x:c r="P295" s="11" t="str">
        <x:v>模型核对：前后排错高基础及右手变换(X,Y,Z)=(u,-w,v)，几何/约束/荷载一致转换；源力(10,-20,5)kN应转为全局(10,-5,-20)kN。核对前右顶点全局Ux/Uy/Uz和后右柱脚反力。</x:v>
      </x:c>
      <x:c r="Q295" s="18" t="str">
        <x:v>新增</x:v>
      </x:c>
      <x:c r="R295" s="11" t="str">
        <x:v>无</x:v>
      </x:c>
      <x:c r="S295" s="11" t="str">
        <x:v>无</x:v>
      </x:c>
      <x:c r="T295" s="11" t="str">
        <x:v>独立模型相对原场景的变化：规则同高基础改成前后排基础错高，保留源坐标变换形成新的柱长分布。旧附件须按本模型重绘，旧数值仅作对照。</x:v>
      </x:c>
      <x:c r="U295" s="11" t="str">
        <x:v>独立建立并复核OpenSees参考模型，固定版本/求解设置及观测位置；以独立模型审阅、整体平衡及构件端力/节点结果一致性校核。不把展示层插值或图像读数直接当数值真值。</x:v>
      </x:c>
      <x:c r="V295" s="11" t="str">
        <x:v>坐标转换协议需验证；本题新增几何/属性与真值均待独立核验；材料截面代号须在本题附录定值。</x:v>
      </x:c>
      <x:c r="W295" s="11" t="str">
        <x:v>规划，待编题与验证</x:v>
      </x:c>
      <x:c r="X295" s="11" t="str">
        <x:v>OpenSees（主选）；YJK/PKPM（原生工程候选，其特殊构件/边界可表达性及接入另核，不作为当前已接入能力）。</x:v>
      </x:c>
      <x:c r="Y295" s="18" t="str">
        <x:v>OpenSees</x:v>
      </x:c>
      <x:c r="Z295" s="11" t="str">
        <x:v>题目核心是右手源轴到全局轴的统一变换、错高基础及力向量核对；规划OpenSees直接保留显式全局坐标和荷载。</x:v>
      </x:c>
      <x:c r="AA295" s="11" t="str">
        <x:v>统一以(X,Y,Z)=(u,-w,v)转换几何/约束/荷载，源力转为(10,-5,-20)kN；基础错高保持不变；执行后按原题完整输出：前右顶点全局Ux/Uy/Uz、后右柱脚反力；附与数值一致的模型/结果图。本轮仅规划，不运行。</x:v>
      </x:c>
      <x:c r="AB295" s="11" t="str">
        <x:v>待逐题验证</x:v>
      </x:c>
      <x:c r="AC295" s="11" t="str">
        <x:v>尚未确认本题可通过；接口/求解/读回预检重点：统一以(X,Y,Z)=(u,-w,v)转换几何/约束/荷载，源力转为(10,-5,-20)kN；基础错高保持不变。特殊单元、轴向、边界及组合均不因OpenSees原生支持而视作已接通。</x:v>
      </x:c>
      <x:c r="AD295" s="11" t="str">
        <x:v>一阶线弹性；自重OFF并保存配置；按附录实际E/A/I/J，不套默认刚度折减；无默认刚性楼板。采用题定右手全局Z向上，核对构件局部轴与结果分量。源映射(X,Y,Z)=(u,-w,v)，源力(10,-20,5)kN转为全局(10,-5,-20)kN。题给线载/点力/力矩按原位映射；如作等效节点加载，须保留原始分布荷载并采用与单元插值一致的等效荷载，核验跨内响应及合力/力矩，不用统一楼面载替代。荷载契约：各梁全局向下8kN/m，前右顶点源坐标力(Fu,Fv,Fw)=(10,-20,5)kN；未指定组合时仅算题定基本荷载，指定组合逐组执行，不能用软件默认包络替换。</x:v>
      </x:c>
      <x:c r="AE295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95" s="11" t="str">
        <x:v>OPS；COMMON</x:v>
      </x:c>
    </x:row>
    <x:row r="296" ht="94.5" customHeight="1">
      <x:c r="A296" s="15" t="str">
        <x:v>MM-095</x:v>
      </x:c>
      <x:c r="B296" s="6" t="str">
        <x:v>多模态逆向建模</x:v>
      </x:c>
      <x:c r="C296" s="19" t="str">
        <x:v>M-MM-095</x:v>
      </x:c>
      <x:c r="D296" s="6" t="str">
        <x:v>双材料分段轴压柱：力学简图</x:v>
      </x:c>
      <x:c r="E296" s="6" t="str">
        <x:v>柱</x:v>
      </x:c>
      <x:c r="F296" s="19" t="str">
        <x:v>2D</x:v>
      </x:c>
      <x:c r="G296" s="6" t="str">
        <x:v>力学简图</x:v>
      </x:c>
      <x:c r="H296" s="19" t="str">
        <x:v>L2</x:v>
      </x:c>
      <x:c r="I296" s="6" t="str">
        <x:v>柱外形相同但分界两侧材料不同，不能使用全柱单一E。</x:v>
      </x:c>
      <x:c r="J296" s="19" t="str">
        <x:v>中文</x:v>
      </x:c>
      <x:c r="K296" s="6" t="str">
        <x:v>新PNG独占本题几何尺寸、连接、支座与荷载图示；附录只给完整材料/截面及求解设置，不转写图内几何。所有新附件待制作、盲审与验证。</x:v>
      </x:c>
      <x:c r="L296" s="23" t="n">
        <x:v>1</x:v>
      </x:c>
      <x:c r="M296" s="6" t="str">
        <x:v>几何：竖柱高4.5m，z=2m设相连材料分界节点；边界：柱底固定；荷载：柱顶全局向下500kN；属性：截面均400×400mm，下段C40、上段C30，各材料完整弹性参数另附。（本栏是编题规格，实际用户输入按图/表分工呈现。）</x:v>
      </x:c>
      <x:c r="N296" s="6" t="str">
        <x:v>柱外形相同但分界两侧材料不同，不能使用全柱单一E。</x:v>
      </x:c>
      <x:c r="O296" s="6" t="str">
        <x:v>柱顶Uz、z=2m节点Uz及柱底轴力；附与数值一致的模型/结果图。</x:v>
      </x:c>
      <x:c r="P296" s="6" t="str">
        <x:v>模型核对：均一混凝土柱改为上下段双材料，轴向变形由两段柔度组成。；数值/表述核对：柱顶Uz、z=2m节点Uz及柱底轴力，位置、方向、单位须一致。</x:v>
      </x:c>
      <x:c r="Q296" s="19" t="str">
        <x:v>新增</x:v>
      </x:c>
      <x:c r="R296" s="6" t="str">
        <x:v>无</x:v>
      </x:c>
      <x:c r="S296" s="6" t="str">
        <x:v>无</x:v>
      </x:c>
      <x:c r="T296" s="6" t="str">
        <x:v>独立模型相对原场景的变化：均一混凝土柱改为上下段双材料，轴向变形由两段柔度组成。旧附件须按本模型重绘，旧数值仅作对照。基础来源：independent-column-static。</x:v>
      </x:c>
      <x:c r="U296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96" s="6" t="str">
        <x:v>基础工具；本题新增几何/属性与真值均待独立核验；材料截面代号须在本题附录定值。</x:v>
      </x:c>
      <x:c r="W296" s="6" t="str">
        <x:v>规划，待编题与验证</x:v>
      </x:c>
      <x:c r="X296" s="6" t="str">
        <x:v>OpenSees（按本题杆系与自由度建模的主选；现有工具链仍须逐题验证）。</x:v>
      </x:c>
      <x:c r="Y296" s="19" t="str">
        <x:v>OpenSees</x:v>
      </x:c>
      <x:c r="Z296" s="6" t="str">
        <x:v>双材料分段轴压柱是构件级边界/加载与变形验证，规划OpenSees逐段弹性杆系；柱外形相同但分界两侧材料不同，不能使用全柱单一E。</x:v>
      </x:c>
      <x:c r="AA296" s="6" t="str">
        <x:v>材料分界共节点且E分段，轴向压缩量按两段柔度交叉核验；执行后按原题完整输出：柱顶Uz、z=2m节点Uz及柱底轴力；附与数值一致的模型/结果图。本轮仅规划，不运行。</x:v>
      </x:c>
      <x:c r="AB296" s="6" t="str">
        <x:v>待逐题验证</x:v>
      </x:c>
      <x:c r="AC296" s="6" t="str">
        <x:v>尚未确认本题可通过；接口/求解/读回预检重点：材料分界共节点且E分段，轴向压缩量按两段柔度交叉核验。特殊单元、轴向、边界及组合均不因OpenSees原生支持而视作已接通。</x:v>
      </x:c>
      <x:c r="AD296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柱顶全局向下500kN；未指定组合时仅算题定基本荷载，指定组合逐组执行，不能用软件默认包络替换。</x:v>
      </x:c>
      <x:c r="AE296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96" s="6" t="str">
        <x:v>OPS；COMMON</x:v>
      </x:c>
    </x:row>
    <x:row r="297" ht="94.5" customHeight="1">
      <x:c r="A297" s="14" t="str">
        <x:v>MM-096</x:v>
      </x:c>
      <x:c r="B297" s="11" t="str">
        <x:v>多模态逆向建模</x:v>
      </x:c>
      <x:c r="C297" s="18" t="str">
        <x:v>M-MM-096</x:v>
      </x:c>
      <x:c r="D297" s="11" t="str">
        <x:v>中高侧向撑点混凝土柱：工程标注图</x:v>
      </x:c>
      <x:c r="E297" s="11" t="str">
        <x:v>柱</x:v>
      </x:c>
      <x:c r="F297" s="18" t="str">
        <x:v>2D</x:v>
      </x:c>
      <x:c r="G297" s="11" t="str">
        <x:v>工程标注图</x:v>
      </x:c>
      <x:c r="H297" s="18" t="str">
        <x:v>L2</x:v>
      </x:c>
      <x:c r="I297" s="11" t="str">
        <x:v>侧向撑点是单向约束，不等于中间固定端或竖向支座。</x:v>
      </x:c>
      <x:c r="J297" s="18" t="str">
        <x:v>英文</x:v>
      </x:c>
      <x:c r="K297" s="11" t="str">
        <x:v>新工程PNG的总图/局部详图给本题几何、连接、支承和荷载位置；图中构件索引关联完整属性表，正文不重述拓扑。所有新附件待制作、盲审与验证。</x:v>
      </x:c>
      <x:c r="L297" s="22" t="n">
        <x:v>1</x:v>
      </x:c>
      <x:c r="M297" s="11" t="str">
        <x:v>几何：竖柱高4.2m，在z=2.1m设连接节点；边界：底部固定，中间节点仅约束全局X平移，竖向和转角自由；荷载：顶端Fz=-600、Fx=30kN；属性：C30、450×450mm柱。（本栏是编题规格，实际用户输入按图/表分工呈现。）</x:v>
      </x:c>
      <x:c r="N297" s="11" t="str">
        <x:v>侧向撑点是单向约束，不等于中间固定端或竖向支座。</x:v>
      </x:c>
      <x:c r="O297" s="11" t="str">
        <x:v>柱顶Ux、z=2.1m水平反力；附与数值一致的模型/结果图。</x:v>
      </x:c>
      <x:c r="P297" s="11" t="str">
        <x:v>模型核对：普通悬臂柱增加中高水平约束，改变弯曲跨度与反力分配。；数值/表述核对：柱顶Ux、z=2.1m水平反力，位置、方向、单位须一致。</x:v>
      </x:c>
      <x:c r="Q297" s="18" t="str">
        <x:v>新增</x:v>
      </x:c>
      <x:c r="R297" s="11" t="str">
        <x:v>无</x:v>
      </x:c>
      <x:c r="S297" s="11" t="str">
        <x:v>无</x:v>
      </x:c>
      <x:c r="T297" s="11" t="str">
        <x:v>独立模型相对原场景的变化：普通悬臂柱增加中高水平约束，改变弯曲跨度与反力分配。旧附件须按本模型重绘，旧数值仅作对照。基础来源：std-column-axial-600kn-lateral30。</x:v>
      </x:c>
      <x:c r="U297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97" s="11" t="str">
        <x:v>基础工具；本题新增几何/属性与真值均待独立核验；材料截面代号须在本题附录定值。</x:v>
      </x:c>
      <x:c r="W297" s="11" t="str">
        <x:v>规划，待编题与验证</x:v>
      </x:c>
      <x:c r="X297" s="11" t="str">
        <x:v>OpenSees（按本题杆系与自由度建模的主选；现有工具链仍须逐题验证）。</x:v>
      </x:c>
      <x:c r="Y297" s="18" t="str">
        <x:v>OpenSees</x:v>
      </x:c>
      <x:c r="Z297" s="11" t="str">
        <x:v>中高侧向撑点混凝土柱是构件级边界/加载与变形验证，规划OpenSees逐段弹性杆系；侧向撑点是单向约束，不等于中间固定端或竖向支座。</x:v>
      </x:c>
      <x:c r="AA297" s="11" t="str">
        <x:v>中高撑点只限制X平移，其竖向和转角保持自由；水平反力作为独立输出；执行后按原题完整输出：柱顶Ux、z=2.1m水平反力；附与数值一致的模型/结果图。本轮仅规划，不运行。</x:v>
      </x:c>
      <x:c r="AB297" s="11" t="str">
        <x:v>待逐题验证</x:v>
      </x:c>
      <x:c r="AC297" s="11" t="str">
        <x:v>尚未确认本题可通过；接口/求解/读回预检重点：中高撑点只限制X平移，其竖向和转角保持自由；水平反力作为独立输出。特殊单元、轴向、边界及组合均不因OpenSees原生支持而视作已接通。</x:v>
      </x:c>
      <x:c r="AD297" s="11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顶端Fz=-600、Fx=30kN；未指定组合时仅算题定基本荷载，指定组合逐组执行，不能用软件默认包络替换。</x:v>
      </x:c>
      <x:c r="AE297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97" s="11" t="str">
        <x:v>OPS；COMMON</x:v>
      </x:c>
    </x:row>
    <x:row r="298" ht="94.5" customHeight="1">
      <x:c r="A298" s="15" t="str">
        <x:v>MM-097</x:v>
      </x:c>
      <x:c r="B298" s="6" t="str">
        <x:v>多模态逆向建模</x:v>
      </x:c>
      <x:c r="C298" s="19" t="str">
        <x:v>M-MM-097</x:v>
      </x:c>
      <x:c r="D298" s="6" t="str">
        <x:v>顶端侧向导向的受弯钢柱：图表联合</x:v>
      </x:c>
      <x:c r="E298" s="6" t="str">
        <x:v>柱</x:v>
      </x:c>
      <x:c r="F298" s="19" t="str">
        <x:v>2D</x:v>
      </x:c>
      <x:c r="G298" s="6" t="str">
        <x:v>图表联合</x:v>
      </x:c>
      <x:c r="H298" s="19" t="str">
        <x:v>L2</x:v>
      </x:c>
      <x:c r="I298" s="6" t="str">
        <x:v>顶端导向支承允许轴向缩短，不能误锁竖向自由度。</x:v>
      </x:c>
      <x:c r="J298" s="19" t="str">
        <x:v>中文</x:v>
      </x:c>
      <x:c r="K298" s="6" t="str">
        <x:v>新PNG独占本题几何/连通/支座和构件或区域标签；荷载表给标签对应的力值/工况/组合，属性表给完整材料/截面；无另附完整节点坐标表绕过读图。所有新附件待制作、盲审与验证。</x:v>
      </x:c>
      <x:c r="L298" s="23" t="n">
        <x:v>1</x:v>
      </x:c>
      <x:c r="M298" s="6" t="str">
        <x:v>几何：5m竖柱，中点z=2.5m设相连节点；边界：底端平面铰支，顶端仅约束X平移、竖向自由，两端转角自由；荷载：顶端向下700kN，中点Fx=10kN；属性：钢材M1、HW300×300完整弹性截面记录。（本栏是编题规格，实际用户输入按图/表分工呈现。）</x:v>
      </x:c>
      <x:c r="N298" s="6" t="str">
        <x:v>顶端导向支承允许轴向缩短，不能误锁竖向自由度。</x:v>
      </x:c>
      <x:c r="O298" s="6" t="str">
        <x:v>柱中点Ux、柱顶Uz和两端水平反力；附与数值一致的模型/结果图。</x:v>
      </x:c>
      <x:c r="P298" s="6" t="str">
        <x:v>模型核对：固端轴压悬臂柱改为铰—侧向导向支承并增加跨内横向力。；数值/表述核对：柱中点Ux、柱顶Uz和两端水平反力，位置、方向、单位须一致。</x:v>
      </x:c>
      <x:c r="Q298" s="19" t="str">
        <x:v>新增</x:v>
      </x:c>
      <x:c r="R298" s="6" t="str">
        <x:v>无</x:v>
      </x:c>
      <x:c r="S298" s="6" t="str">
        <x:v>无</x:v>
      </x:c>
      <x:c r="T298" s="6" t="str">
        <x:v>独立模型相对原场景的变化：固端轴压悬臂柱改为铰—侧向导向支承并增加跨内横向力。旧附件须按本模型重绘，旧数值仅作对照。基础来源：std-column-steel-5m-en。</x:v>
      </x:c>
      <x:c r="U298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98" s="6" t="str">
        <x:v>基础工具；本题新增几何/属性与真值均待独立核验；材料截面代号须在本题附录定值。</x:v>
      </x:c>
      <x:c r="W298" s="6" t="str">
        <x:v>规划，待编题与验证</x:v>
      </x:c>
      <x:c r="X298" s="6" t="str">
        <x:v>OpenSees（按本题杆系与自由度建模的主选；现有工具链仍须逐题验证）。</x:v>
      </x:c>
      <x:c r="Y298" s="19" t="str">
        <x:v>OpenSees</x:v>
      </x:c>
      <x:c r="Z298" s="6" t="str">
        <x:v>顶端侧向导向的受弯钢柱是构件级边界/加载与变形验证，规划OpenSees逐段弹性杆系；顶端导向支承允许轴向缩短，不能误锁竖向自由度。</x:v>
      </x:c>
      <x:c r="AA298" s="6" t="str">
        <x:v>顶部仅侧向导向且竖向自由，底铰与两端转角不可错误锁死；执行后按原题完整输出：柱中点Ux、柱顶Uz和两端水平反力；附与数值一致的模型/结果图。本轮仅规划，不运行。</x:v>
      </x:c>
      <x:c r="AB298" s="6" t="str">
        <x:v>待逐题验证</x:v>
      </x:c>
      <x:c r="AC298" s="6" t="str">
        <x:v>尚未确认本题可通过；接口/求解/读回预检重点：顶部仅侧向导向且竖向自由，底铰与两端转角不可错误锁死。特殊单元、轴向、边界及组合均不因OpenSees原生支持而视作已接通。</x:v>
      </x:c>
      <x:c r="AD298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顶端向下700kN，中点Fx=10kN；未指定组合时仅算题定基本荷载，指定组合逐组执行，不能用软件默认包络替换。</x:v>
      </x:c>
      <x:c r="AE298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98" s="6" t="str">
        <x:v>OPS；COMMON</x:v>
      </x:c>
    </x:row>
    <x:row r="299" ht="94.5" customHeight="1">
      <x:c r="A299" s="14" t="str">
        <x:v>MM-098</x:v>
      </x:c>
      <x:c r="B299" s="11" t="str">
        <x:v>多模态逆向建模</x:v>
      </x:c>
      <x:c r="C299" s="18" t="str">
        <x:v>M-MM-098</x:v>
      </x:c>
      <x:c r="D299" s="11" t="str">
        <x:v>中部带侧臂空间悬臂柱：多视图重建</x:v>
      </x:c>
      <x:c r="E299" s="11" t="str">
        <x:v>柱</x:v>
      </x:c>
      <x:c r="F299" s="18" t="str">
        <x:v>3D</x:v>
      </x:c>
      <x:c r="G299" s="11" t="str">
        <x:v>多视图重建</x:v>
      </x:c>
      <x:c r="H299" s="18" t="str">
        <x:v>L3</x:v>
      </x:c>
      <x:c r="I299" s="11" t="str">
        <x:v>中部侧臂在一幅立面中重合，必须用另一视图辨认偏心。</x:v>
      </x:c>
      <x:c r="J299" s="18" t="str">
        <x:v>英文</x:v>
      </x:c>
      <x:c r="K299" s="11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299" s="22" t="n">
        <x:v>1</x:v>
      </x:c>
      <x:c r="M299" s="11" t="str">
        <x:v>几何：6m竖柱，在z=3m沿全局Y正向刚接2m短梁；边界：柱底六自由度固定，短梁端自由；荷载：柱顶Fx=20、Fy=15、Fz=-400kN，短梁端Fz=-80kN；属性：钢M1、非对称柱截面C1、短梁B1，局部轴显式给出。（本栏是编题规格，实际用户输入按图/表分工呈现。）</x:v>
      </x:c>
      <x:c r="N299" s="11" t="str">
        <x:v>中部侧臂在一幅立面中重合，必须用另一视图辨认偏心。</x:v>
      </x:c>
      <x:c r="O299" s="11" t="str">
        <x:v>柱顶Ux/Uy、侧臂端Uz及柱底Mx/My；Mz约为0作为平衡检查，附模型/结果图。</x:v>
      </x:c>
      <x:c r="P299" s="11" t="str">
        <x:v>模型核对：柱中部+Y侧臂及其Fz=-80kN荷载，真实偏心形成附加Mx；数值核对柱顶Ux/Uy、侧臂端Uz、柱底Mx/My。按一阶整体力矩平衡检查Mz约为0，不宣称新增柱轴扭转。</x:v>
      </x:c>
      <x:c r="Q299" s="18" t="str">
        <x:v>新增</x:v>
      </x:c>
      <x:c r="R299" s="11" t="str">
        <x:v>无</x:v>
      </x:c>
      <x:c r="S299" s="11" t="str">
        <x:v>无</x:v>
      </x:c>
      <x:c r="T299" s="11" t="str">
        <x:v>独立模型相对原场景的变化：单根空间柱增加中高Y向侧臂及偏心竖向荷载，形成附加Mx弯矩和双向弯曲；本一阶荷载下绕柱轴Mz应为零（容差内）。旧附件须按本模型重绘，旧数值仅作对照。</x:v>
      </x:c>
      <x:c r="U299" s="11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299" s="11" t="str">
        <x:v>空间局部轴需验证；本题新增几何/属性与真值均待独立核验；材料截面代号须在本题附录定值。</x:v>
      </x:c>
      <x:c r="W299" s="11" t="str">
        <x:v>规划，待编题与验证</x:v>
      </x:c>
      <x:c r="X299" s="11" t="str">
        <x:v>OpenSees（按本题杆系与自由度建模的主选；现有工具链仍须逐题验证）。</x:v>
      </x:c>
      <x:c r="Y299" s="18" t="str">
        <x:v>OpenSees</x:v>
      </x:c>
      <x:c r="Z299" s="11" t="str">
        <x:v>中部带侧臂空间悬臂柱是构件级边界/加载与变形验证，规划OpenSees逐段弹性杆系；中部侧臂在一幅立面中重合，必须用另一视图辨认偏心。</x:v>
      </x:c>
      <x:c r="AA299" s="11" t="str">
        <x:v>中部Y向真实侧臂产生偏心Mx；核对Mx/My并以Mz约零检验一阶力矩平衡；执行后按原题完整输出：柱顶Ux/Uy、侧臂端Uz及柱底Mx/My；Mz约为0作为平衡检查，附模型/结果图。本轮仅规划，不运行。</x:v>
      </x:c>
      <x:c r="AB299" s="11" t="str">
        <x:v>待逐题验证</x:v>
      </x:c>
      <x:c r="AC299" s="11" t="str">
        <x:v>尚未确认本题可通过；接口/求解/读回预检重点：中部Y向真实侧臂产生偏心Mx；核对Mx/My并以Mz约零检验一阶力矩平衡。特殊单元、轴向、边界及组合均不因OpenSees原生支持而视作已接通。</x:v>
      </x:c>
      <x:c r="AD299" s="11" t="str">
        <x:v>一阶线弹性；自重OFF并保存配置；按附录实际E/A/I/J，不套默认刚度折减；无默认刚性楼板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柱顶Fx=20、Fy=15、Fz=-400kN，短梁端Fz=-80kN；未指定组合时仅算题定基本荷载，指定组合逐组执行，不能用软件默认包络替换。</x:v>
      </x:c>
      <x:c r="AE299" s="11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299" s="11" t="str">
        <x:v>OPS；COMMON</x:v>
      </x:c>
    </x:row>
    <x:row r="300" ht="94.5" customHeight="1">
      <x:c r="A300" s="15" t="str">
        <x:v>MM-099</x:v>
      </x:c>
      <x:c r="B300" s="6" t="str">
        <x:v>多模态逆向建模</x:v>
      </x:c>
      <x:c r="C300" s="19" t="str">
        <x:v>M-MM-099</x:v>
      </x:c>
      <x:c r="D300" s="6" t="str">
        <x:v>上段倾斜的分段截面柱：工程标注图</x:v>
      </x:c>
      <x:c r="E300" s="6" t="str">
        <x:v>柱</x:v>
      </x:c>
      <x:c r="F300" s="19" t="str">
        <x:v>2D</x:v>
      </x:c>
      <x:c r="G300" s="6" t="str">
        <x:v>工程标注图</x:v>
      </x:c>
      <x:c r="H300" s="19" t="str">
        <x:v>L3</x:v>
      </x:c>
      <x:c r="I300" s="6" t="str">
        <x:v>截面分界与柱轴折点重合，但不是内铰或支座。</x:v>
      </x:c>
      <x:c r="J300" s="19" t="str">
        <x:v>中文</x:v>
      </x:c>
      <x:c r="K300" s="6" t="str">
        <x:v>新工程PNG的总图/局部详图给本题几何、连接、支承和荷载位置；图中构件索引关联完整属性表，正文不重述拓扑。所有新附件待制作、盲审与验证。</x:v>
      </x:c>
      <x:c r="L300" s="23" t="n">
        <x:v>1</x:v>
      </x:c>
      <x:c r="M300" s="6" t="str">
        <x:v>几何：XZ面折线柱通过(0,0)、(0,3)、(1,8)m，折点刚接；边界：底部固定；荷载：末端Fx=20、Fz=-300kN；属性：钢M1，下段C1、上段C2，斜段局部轴明确。（本栏是编题规格，实际用户输入按图/表分工呈现。）</x:v>
      </x:c>
      <x:c r="N300" s="6" t="str">
        <x:v>截面分界与柱轴折点重合，但不是内铰或支座。</x:v>
      </x:c>
      <x:c r="O300" s="6" t="str">
        <x:v>柱顶Ux/Uz、z=3m折点弯矩；附与数值一致的模型/结果图。</x:v>
      </x:c>
      <x:c r="P300" s="6" t="str">
        <x:v>模型核对：竖直变截面柱改为上段倾斜，真实偏心和局部轴共同影响响应。；数值/表述核对：柱顶Ux/Uz、z=3m折点弯矩，位置、方向、单位须一致。</x:v>
      </x:c>
      <x:c r="Q300" s="19" t="str">
        <x:v>新增</x:v>
      </x:c>
      <x:c r="R300" s="6" t="str">
        <x:v>无</x:v>
      </x:c>
      <x:c r="S300" s="6" t="str">
        <x:v>无</x:v>
      </x:c>
      <x:c r="T300" s="6" t="str">
        <x:v>独立模型相对原场景的变化：竖直变截面柱改为上段倾斜，真实偏心和局部轴共同影响响应。旧附件须按本模型重绘，旧数值仅作对照。</x:v>
      </x:c>
      <x:c r="U300" s="6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300" s="6" t="str">
        <x:v>基础工具；本题新增几何/属性与真值均待独立核验；材料截面代号须在本题附录定值。斜杆全局荷载和局部轴适配待验证。</x:v>
      </x:c>
      <x:c r="W300" s="6" t="str">
        <x:v>规划，待编题与验证</x:v>
      </x:c>
      <x:c r="X300" s="6" t="str">
        <x:v>OpenSees（按本题杆系与自由度建模的主选；现有工具链仍须逐题验证）。</x:v>
      </x:c>
      <x:c r="Y300" s="19" t="str">
        <x:v>OpenSees</x:v>
      </x:c>
      <x:c r="Z300" s="6" t="str">
        <x:v>上段倾斜的分段截面柱是构件级边界/加载与变形验证，规划OpenSees逐段弹性杆系；截面分界与柱轴折点重合，但不是内铰或支座。</x:v>
      </x:c>
      <x:c r="AA300" s="6" t="str">
        <x:v>上段真实斜柱与下段异截面刚接，不把折点当释放或采用刚臂简化；执行后按原题完整输出：柱顶Ux/Uz、z=3m折点弯矩；附与数值一致的模型/结果图。本轮仅规划，不运行。</x:v>
      </x:c>
      <x:c r="AB300" s="6" t="str">
        <x:v>待逐题验证</x:v>
      </x:c>
      <x:c r="AC300" s="6" t="str">
        <x:v>尚未确认本题可通过；接口/求解/读回预检重点：上段真实斜柱与下段异截面刚接，不把折点当释放或采用刚臂简化。特殊单元、轴向、边界及组合均不因OpenSees原生支持而视作已接通。</x:v>
      </x:c>
      <x:c r="AD300" s="6" t="str">
        <x:v>一阶线弹性；自重OFF并保存配置；按附录实际E/A/I/J，不套默认刚度折减；无默认刚性楼板。全局Z向上，核对XZ到求解器平面的映射及Ry符号。题给线载/点力/力矩按原位映射；如作等效节点加载，须保留原始分布荷载并采用与单元插值一致的等效荷载，核验跨内响应及合力/力矩，不用统一楼面载替代。荷载契约：末端Fx=20、Fz=-300kN；未指定组合时仅算题定基本荷载，指定组合逐组执行，不能用软件默认包络替换。</x:v>
      </x:c>
      <x:c r="AE300" s="6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300" s="6" t="str">
        <x:v>OPS；COMMON</x:v>
      </x:c>
    </x:row>
    <x:row r="301" ht="94.5" customHeight="1">
      <x:c r="A301" s="16" t="str">
        <x:v>MM-100</x:v>
      </x:c>
      <x:c r="B301" s="12" t="str">
        <x:v>多模态逆向建模</x:v>
      </x:c>
      <x:c r="C301" s="20" t="str">
        <x:v>M-MM-100</x:v>
      </x:c>
      <x:c r="D301" s="12" t="str">
        <x:v>柱顶双向短臂空间支架：多视图重建</x:v>
      </x:c>
      <x:c r="E301" s="12" t="str">
        <x:v>柱</x:v>
      </x:c>
      <x:c r="F301" s="20" t="str">
        <x:v>3D</x:v>
      </x:c>
      <x:c r="G301" s="12" t="str">
        <x:v>多视图重建</x:v>
      </x:c>
      <x:c r="H301" s="20" t="str">
        <x:v>L3</x:v>
      </x:c>
      <x:c r="I301" s="12" t="str">
        <x:v>两正交短臂在不同投影中显形，端荷载不能都归到柱顶。</x:v>
      </x:c>
      <x:c r="J301" s="20" t="str">
        <x:v>英文</x:v>
      </x:c>
      <x:c r="K301" s="12" t="str">
        <x:v>新平面及正交立面/局部截面PNG共同给本题空间几何、连接与朝向；附录给明确约束、荷载向量、完整属性和视图轴约定，不直接给完整节点坐标答案。所有新附件待制作、盲审与验证。</x:v>
      </x:c>
      <x:c r="L301" s="24" t="n">
        <x:v>1</x:v>
      </x:c>
      <x:c r="M301" s="12" t="str">
        <x:v>几何：5m竖柱，柱顶刚接两短梁，分别沿+X伸2m、沿-Y伸1.5m；边界：柱底六自由度固定，两短梁端自由；荷载：X臂端Fz=-200kN，Y臂端Fx=10、Fz=-100kN；属性：钢M1、柱C1、X臂B1、Y臂B2，全部真实弹性梁柱而非刚臂。（本栏是编题规格，实际用户输入按图/表分工呈现。）</x:v>
      </x:c>
      <x:c r="N301" s="12" t="str">
        <x:v>两正交短臂在不同投影中显形，端荷载不能都归到柱顶。</x:v>
      </x:c>
      <x:c r="O301" s="12" t="str">
        <x:v>两短臂端Uz、柱底Mx/My/Mz；附与数值一致的模型/结果图。</x:v>
      </x:c>
      <x:c r="P301" s="12" t="str">
        <x:v>模型核对：单一短臂柱改为双正交短臂及两端不同加载，形成更一般空间扭弯。；数值/表述核对：两短臂端Uz、柱底Mx/My/Mz，位置、方向、单位须一致。</x:v>
      </x:c>
      <x:c r="Q301" s="20" t="str">
        <x:v>新增</x:v>
      </x:c>
      <x:c r="R301" s="12" t="str">
        <x:v>无</x:v>
      </x:c>
      <x:c r="S301" s="12" t="str">
        <x:v>无</x:v>
      </x:c>
      <x:c r="T301" s="12" t="str">
        <x:v>独立模型相对原场景的变化：单一短臂柱改为双正交短臂及两端不同加载，形成更一般空间扭弯。旧附件须按本模型重绘，旧数值仅作对照。</x:v>
      </x:c>
      <x:c r="U301" s="12" t="str">
        <x:v>独立建立并复核OpenSees参考模型，固定版本/求解设置及观测位置；以适用解析解或独立刚度法交叉校核位移、内力和整体平衡。不把展示层插值或图像读数直接当数值真值。</x:v>
      </x:c>
      <x:c r="V301" s="12" t="str">
        <x:v>空间梁柱连接需验证；本题新增几何/属性与真值均待独立核验；材料截面代号须在本题附录定值。</x:v>
      </x:c>
      <x:c r="W301" s="12" t="str">
        <x:v>规划，待编题与验证</x:v>
      </x:c>
      <x:c r="X301" s="12" t="str">
        <x:v>OpenSees（按本题杆系与自由度建模的主选；现有工具链仍须逐题验证）。</x:v>
      </x:c>
      <x:c r="Y301" s="20" t="str">
        <x:v>OpenSees</x:v>
      </x:c>
      <x:c r="Z301" s="12" t="str">
        <x:v>柱顶双向短臂空间支架是构件级边界/加载与变形验证，规划OpenSees逐段弹性杆系；两正交短臂在不同投影中显形，端荷载不能都归到柱顶。</x:v>
      </x:c>
      <x:c r="AA301" s="12" t="str">
        <x:v>两正交短臂均为真实弹性梁，分别赋截面与端力；核对柱底三向力矩；执行后按原题完整输出：两短臂端Uz、柱底Mx/My/Mz；附与数值一致的模型/结果图。本轮仅规划，不运行。</x:v>
      </x:c>
      <x:c r="AB301" s="12" t="str">
        <x:v>待逐题验证</x:v>
      </x:c>
      <x:c r="AC301" s="12" t="str">
        <x:v>尚未确认本题可通过；接口/求解/读回预检重点：两正交短臂均为真实弹性梁，分别赋截面与端力；核对柱底三向力矩。特殊单元、轴向、边界及组合均不因OpenSees原生支持而视作已接通。</x:v>
      </x:c>
      <x:c r="AD301" s="12" t="str">
        <x:v>一阶线弹性；自重OFF并保存配置；按附录实际E/A/I/J，不套默认刚度折减；无默认刚性楼板。采用题定右手全局Z向上，核对构件局部轴与结果分量。题给线载/点力/力矩按原位映射；如作等效节点加载，须保留原始分布荷载并采用与单元插值一致的等效荷载，核验跨内响应及合力/力矩，不用统一楼面载替代。荷载契约：X臂端Fz=-200kN，Y臂端Fx=10、Fz=-100kN；未指定组合时仅算题定基本荷载，指定组合逐组执行，不能用软件默认包络替换。</x:v>
      </x:c>
      <x:c r="AE301" s="12" t="str">
        <x:v>计划保存输入PNG/DXF及图中构件/标签→计算节点/构件ID映射、可复现OpenSees输入模型、引擎版本与设置快照、实际运行日志、原始结果表/观测点索引、可视图所用数据。</x:v>
      </x:c>
      <x:c r="AF301" s="12" t="str">
        <x:v>OPS；COMMON</x:v>
      </x:c>
    </x:row>
  </x:sheetData>
  <x:conditionalFormatting sqref="H2:H301">
    <x:cfRule type="containsText" dxfId="0" priority="1" operator="containsText" text="L1"/>
    <x:cfRule type="containsText" dxfId="1" priority="2" operator="containsText" text="L2"/>
    <x:cfRule type="containsText" dxfId="2" priority="3" operator="containsText" text="L3"/>
  </x:conditionalFormatting>
  <x:conditionalFormatting sqref="AB2:AB301">
    <x:cfRule type="containsText" dxfId="3" priority="4" operator="containsText" text="存在已知接口缺口"/>
  </x:conditionalFormatting>
  <x:dataValidations count="5">
    <x:dataValidation type="list" sqref="H2:H301">
      <x:formula1>"L1,L2,L3"</x:formula1>
    </x:dataValidation>
    <x:dataValidation type="list" sqref="J2:J301">
      <x:formula1>"中文,英文"</x:formula1>
    </x:dataValidation>
    <x:dataValidation type="list" sqref="Q2:Q301">
      <x:formula1>"旧题沿用,旧题改编,新增"</x:formula1>
    </x:dataValidation>
    <x:dataValidation type="list" sqref="Y2:Y301">
      <x:formula1>"OpenSees,YJK,PKPM"</x:formula1>
    </x:dataValidation>
    <x:dataValidation type="list" sqref="AB2:AB301">
      <x:formula1>"待逐题验证,存在已知接口缺口"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879b5819ae4430"/>
  </x:tableParts>
</x:worksheet>
</file>

<file path=xl/worksheets/sheet3.xml><?xml version="1.0" encoding="utf-8"?>
<x:worksheet xmlns:x="http://schemas.openxmlformats.org/spreadsheetml/2006/main">
  <x:sheetPr>
    <x:tabColor rgb="FF173E59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.25" hidden="0" customWidth="1"/>
    <x:col min="2" max="2" width="12" hidden="0" customWidth="1"/>
    <x:col min="3" max="3" width="34.380001068115234" hidden="0" customWidth="1"/>
    <x:col min="4" max="4" width="16.5" hidden="0" customWidth="1"/>
    <x:col min="5" max="5" width="8.25" hidden="0" customWidth="1"/>
    <x:col min="6" max="6" width="12.5" hidden="0" customWidth="1"/>
    <x:col min="7" max="7" width="72.5" hidden="0" customWidth="1"/>
    <x:col min="8" max="8" width="38.75" hidden="0" customWidth="1"/>
    <x:col min="9" max="9" width="40" hidden="0" customWidth="1"/>
    <x:col min="10" max="10" width="41.25" hidden="0" customWidth="1"/>
    <x:col min="11" max="11" width="57.5" hidden="0" customWidth="1"/>
    <x:col min="12" max="12" width="38.75" hidden="0" customWidth="1"/>
    <x:col min="13" max="13" width="57.5" hidden="0" customWidth="1"/>
    <x:col min="14" max="14" width="35" hidden="0" customWidth="1"/>
    <x:col min="15" max="15" width="13.5" hidden="0" customWidth="1"/>
    <x:col min="16" max="16" width="15.630000114440918" hidden="0" customWidth="1"/>
    <x:col min="17" max="17" width="23.75" hidden="0" customWidth="1"/>
  </x:cols>
  <x:sheetData>
    <x:row r="1" ht="33" customHeight="1">
      <x:c r="A1" s="10" t="str">
        <x:v>独立模型 ID</x:v>
      </x:c>
      <x:c r="B1" s="10" t="str">
        <x:v>对应题 ID</x:v>
      </x:c>
      <x:c r="C1" s="10" t="str">
        <x:v>模型名称</x:v>
      </x:c>
      <x:c r="D1" s="10" t="str">
        <x:v>结构类别</x:v>
      </x:c>
      <x:c r="E1" s="10" t="str">
        <x:v>维度</x:v>
      </x:c>
      <x:c r="F1" s="10" t="str">
        <x:v>基础建模难度</x:v>
      </x:c>
      <x:c r="G1" s="10" t="str">
        <x:v>几何、支座与荷载场景</x:v>
      </x:c>
      <x:c r="H1" s="10" t="str">
        <x:v>主要建模难点</x:v>
      </x:c>
      <x:c r="I1" s="10" t="str">
        <x:v>基础旧题 ID</x:v>
      </x:c>
      <x:c r="J1" s="10" t="str">
        <x:v>旧来源的标答 ID</x:v>
      </x:c>
      <x:c r="K1" s="10" t="str">
        <x:v>实质差异与独立性</x:v>
      </x:c>
      <x:c r="L1" s="10" t="str">
        <x:v>能力前提</x:v>
      </x:c>
      <x:c r="M1" s="10" t="str">
        <x:v>编题时仍需补齐</x:v>
      </x:c>
      <x:c r="N1" s="10" t="str">
        <x:v>模型状态</x:v>
      </x:c>
      <x:c r="O1" s="10" t="str">
        <x:v>关联任务数</x:v>
      </x:c>
      <x:c r="P1" s="10" t="str">
        <x:v>拟定执行软件</x:v>
      </x:c>
      <x:c r="Q1" s="10" t="str">
        <x:v>当前接入状态</x:v>
      </x:c>
    </x:row>
    <x:row r="2" ht="52.5" customHeight="1">
      <x:c r="A2" s="26" t="str">
        <x:v>M-STD-001</x:v>
      </x:c>
      <x:c r="B2" s="5" t="str">
        <x:v>STD-001</x:v>
      </x:c>
      <x:c r="C2" s="5" t="str">
        <x:v>6m简支梁全跨均布载</x:v>
      </x:c>
      <x:c r="D2" s="5" t="str">
        <x:v>梁</x:v>
      </x:c>
      <x:c r="E2" s="5" t="str">
        <x:v>2D</x:v>
      </x:c>
      <x:c r="F2" s="5" t="str">
        <x:v>L1</x:v>
      </x:c>
      <x:c r="G2" s="5" t="str">
        <x:v>跨度6m，左铰右滚，全跨向下20kN/m，跨中观测点；完整属性按公共契约随题给出。 明确跨中设置连通观测节点，自重关闭，采用一阶弹性分析。 边界：左铰右竖向滚支。</x:v>
      </x:c>
      <x:c r="H2" s="5" t="str">
        <x:v>梁边界和均布荷载覆盖</x:v>
      </x:c>
      <x:c r="I2" s="5" t="str">
        <x:v>beam-static-6m</x:v>
      </x:c>
      <x:c r="J2" s="5" t="str">
        <x:v>beam-simple-6m</x:v>
      </x:c>
      <x:c r="K2" s="5" t="str">
        <x:v>水平单跨梁；跨中连通观测点；左铰右竖向滚支；全跨均布竖向载荷；均匀单材料单截面</x:v>
      </x:c>
      <x:c r="L2" s="5" t="str">
        <x:v>基础工具；完整题面、参数/单位契约与真值待验证</x:v>
      </x:c>
      <x:c r="M2" s="5" t="str">
        <x:v>逐字段材料/截面数值及单位；完整支承自由度、荷载坐标与结果观测点</x:v>
      </x:c>
      <x:c r="N2" s="5" t="str">
        <x:v>独立规划骨架；可执行模型/数值真值待生成</x:v>
      </x:c>
      <x:c r="O2" s="30" t="n">
        <x:f>COUNTIFS('300题规划'!$C$2:$C$301,A2)</x:f>
        <x:v>1</x:v>
      </x:c>
      <x:c r="P2" s="5" t="str">
        <x:f>INDEX('300题规划'!$Y$2:$Y$301,MATCH(B2,'300题规划'!$A$2:$A$301,0))</x:f>
        <x:v>OpenSees</x:v>
      </x:c>
      <x:c r="Q2" s="5" t="str">
        <x:f>INDEX('300题规划'!$AB$2:$AB$301,MATCH(B2,'300题规划'!$A$2:$A$301,0))</x:f>
        <x:v>待逐题验证</x:v>
      </x:c>
    </x:row>
    <x:row r="3" ht="52.5" customHeight="1">
      <x:c r="A3" s="27" t="str">
        <x:v>M-STD-002</x:v>
      </x:c>
      <x:c r="B3" s="11" t="str">
        <x:v>STD-002</x:v>
      </x:c>
      <x:c r="C3" s="11" t="str">
        <x:v>3m悬臂梁端部集中力</x:v>
      </x:c>
      <x:c r="D3" s="11" t="str">
        <x:v>梁</x:v>
      </x:c>
      <x:c r="E3" s="11" t="str">
        <x:v>2D</x:v>
      </x:c>
      <x:c r="F3" s="11" t="str">
        <x:v>L1</x:v>
      </x:c>
      <x:c r="G3" s="11" t="str">
        <x:v>跨度3m，左固支，右端向下10kN；完整属性按公共契约随题给出。 固定端在左，自由端在右；自由端外力仅竖向，不附加转动约束。 边界：左固右自由。</x:v>
      </x:c>
      <x:c r="H3" s="11" t="str">
        <x:v>固端与自由端不能互换</x:v>
      </x:c>
      <x:c r="I3" s="11" t="str">
        <x:v>beam-cantilever-point-load</x:v>
      </x:c>
      <x:c r="J3" s="11" t="str">
        <x:v>beam-cantilever-3m-point10</x:v>
      </x:c>
      <x:c r="K3" s="11" t="str">
        <x:v>水平单跨悬臂梁；左固右自由；自由端竖向集中力；均匀单材料单截面</x:v>
      </x:c>
      <x:c r="L3" s="11" t="str">
        <x:v>基础工具；完整题面、参数/单位契约与真值待验证</x:v>
      </x:c>
      <x:c r="M3" s="11" t="str">
        <x:v>逐字段材料/截面数值及单位；完整支承自由度、荷载坐标与结果观测点</x:v>
      </x:c>
      <x:c r="N3" s="11" t="str">
        <x:v>独立规划骨架；可执行模型/数值真值待生成</x:v>
      </x:c>
      <x:c r="O3" s="30" t="n">
        <x:f>COUNTIFS('300题规划'!$C$2:$C$301,A3)</x:f>
        <x:v>1</x:v>
      </x:c>
      <x:c r="P3" s="5" t="str">
        <x:f>INDEX('300题规划'!$Y$2:$Y$301,MATCH(B3,'300题规划'!$A$2:$A$301,0))</x:f>
        <x:v>OpenSees</x:v>
      </x:c>
      <x:c r="Q3" s="5" t="str">
        <x:f>INDEX('300题规划'!$AB$2:$AB$301,MATCH(B3,'300题规划'!$A$2:$A$301,0))</x:f>
        <x:v>待逐题验证</x:v>
      </x:c>
    </x:row>
    <x:row r="4" ht="54" customHeight="1">
      <x:c r="A4" s="28" t="str">
        <x:v>M-STD-003</x:v>
      </x:c>
      <x:c r="B4" s="6" t="str">
        <x:v>STD-003</x:v>
      </x:c>
      <x:c r="C4" s="6" t="str">
        <x:v>简支段加右侧外伸梁</x:v>
      </x:c>
      <x:c r="D4" s="6" t="str">
        <x:v>梁</x:v>
      </x:c>
      <x:c r="E4" s="6" t="str">
        <x:v>2D</x:v>
      </x:c>
      <x:c r="F4" s="6" t="str">
        <x:v>L2</x:v>
      </x:c>
      <x:c r="G4" s="6" t="str">
        <x:v>支座x=0、5m，右端x=6.5m，全长向下15kN/m，观测x=3.25m和外伸端；完整属性按公共契约随题给出。 明确全长中点为x=3.25m；它不是5m支承跨的跨中，不把右支座视为梁端。 边界：左铰中部竖向滚支；右端自由。</x:v>
      </x:c>
      <x:c r="H4" s="6" t="str">
        <x:v>全长中点与支承跨中不同</x:v>
      </x:c>
      <x:c r="I4" s="6" t="str">
        <x:v>beam-overhanging-static</x:v>
      </x:c>
      <x:c r="J4" s="6" t="str">
        <x:v>beam-overhang-5m-1p5m-udl15</x:v>
      </x:c>
      <x:c r="K4" s="6" t="str">
        <x:v>水平梁含支承跨与右外伸段；左铰中部竖向滚支；右端自由；全长均布竖向载荷；均匀单材料单截面</x:v>
      </x:c>
      <x:c r="L4" s="6" t="str">
        <x:v>基础工具；完整题面、参数/单位契约与真值待验证</x:v>
      </x:c>
      <x:c r="M4" s="6" t="str">
        <x:v>逐字段材料/截面数值及单位；完整支承自由度、荷载坐标与结果观测点</x:v>
      </x:c>
      <x:c r="N4" s="6" t="str">
        <x:v>独立规划骨架；可执行模型/数值真值待生成</x:v>
      </x:c>
      <x:c r="O4" s="30" t="n">
        <x:f>COUNTIFS('300题规划'!$C$2:$C$301,A4)</x:f>
        <x:v>1</x:v>
      </x:c>
      <x:c r="P4" s="5" t="str">
        <x:f>INDEX('300题规划'!$Y$2:$Y$301,MATCH(B4,'300题规划'!$A$2:$A$301,0))</x:f>
        <x:v>OpenSees</x:v>
      </x:c>
      <x:c r="Q4" s="5" t="str">
        <x:f>INDEX('300题规划'!$AB$2:$AB$301,MATCH(B4,'300题规划'!$A$2:$A$301,0))</x:f>
        <x:v>待逐题验证</x:v>
      </x:c>
    </x:row>
    <x:row r="5" ht="52.5" customHeight="1">
      <x:c r="A5" s="27" t="str">
        <x:v>M-STD-004</x:v>
      </x:c>
      <x:c r="B5" s="11" t="str">
        <x:v>STD-004</x:v>
      </x:c>
      <x:c r="C5" s="11" t="str">
        <x:v>偏心点载与均布载组合梁</x:v>
      </x:c>
      <x:c r="D5" s="11" t="str">
        <x:v>梁</x:v>
      </x:c>
      <x:c r="E5" s="11" t="str">
        <x:v>2D</x:v>
      </x:c>
      <x:c r="F5" s="11" t="str">
        <x:v>L2</x:v>
      </x:c>
      <x:c r="G5" s="11" t="str">
        <x:v>跨度12m，左铰右滚，均布载15kN/m，x=4m处向下50kN，观测跨中；完整属性按公共契约随题给出。 x=4m集中力节点与x=6m观测节点分别连通，均布载覆盖全长。 边界：左铰右竖向滚支。</x:v>
      </x:c>
      <x:c r="H5" s="11" t="str">
        <x:v>点载位置与观测位置分离</x:v>
      </x:c>
      <x:c r="I5" s="11" t="str">
        <x:v>std-beam-12m-combo-gt</x:v>
      </x:c>
      <x:c r="J5" s="11" t="str">
        <x:v>beam-complex-12m</x:v>
      </x:c>
      <x:c r="K5" s="11" t="str">
        <x:v>水平单跨梁；偏心力点与跨中分离；左铰右竖向滚支；全跨均布竖载与三分之一跨点载；均匀单材料单截面</x:v>
      </x:c>
      <x:c r="L5" s="11" t="str">
        <x:v>基础工具；完整题面、参数/单位契约与真值待验证</x:v>
      </x:c>
      <x:c r="M5" s="11" t="str">
        <x:v>逐字段材料/截面数值及单位；完整支承自由度、荷载坐标与结果观测点</x:v>
      </x:c>
      <x:c r="N5" s="11" t="str">
        <x:v>独立规划骨架；可执行模型/数值真值待生成</x:v>
      </x:c>
      <x:c r="O5" s="30" t="n">
        <x:f>COUNTIFS('300题规划'!$C$2:$C$301,A5)</x:f>
        <x:v>1</x:v>
      </x:c>
      <x:c r="P5" s="5" t="str">
        <x:f>INDEX('300题规划'!$Y$2:$Y$301,MATCH(B5,'300题规划'!$A$2:$A$301,0))</x:f>
        <x:v>OpenSees</x:v>
      </x:c>
      <x:c r="Q5" s="5" t="str">
        <x:f>INDEX('300题规划'!$AB$2:$AB$301,MATCH(B5,'300题规划'!$A$2:$A$301,0))</x:f>
        <x:v>待逐题验证</x:v>
      </x:c>
    </x:row>
    <x:row r="6" ht="52.5" customHeight="1">
      <x:c r="A6" s="28" t="str">
        <x:v>M-STD-005</x:v>
      </x:c>
      <x:c r="B6" s="6" t="str">
        <x:v>STD-005</x:v>
      </x:c>
      <x:c r="C6" s="6" t="str">
        <x:v>4m简支梁跨中集中力</x:v>
      </x:c>
      <x:c r="D6" s="6" t="str">
        <x:v>梁</x:v>
      </x:c>
      <x:c r="E6" s="6" t="str">
        <x:v>2D</x:v>
      </x:c>
      <x:c r="F6" s="6" t="str">
        <x:v>L1</x:v>
      </x:c>
      <x:c r="G6" s="6" t="str">
        <x:v>跨度4m，跨中向下25kN，左铰右滚；完整属性按公共契约随题给出。 跨中为唯一集中力作用点，两侧梁单元必须共享该节点。 边界：左铰右竖向滚支。</x:v>
      </x:c>
      <x:c r="H6" s="6" t="str">
        <x:v>集中力节点必须连接两侧单元</x:v>
      </x:c>
      <x:c r="I6" s="6" t="str">
        <x:v>std-beam-4m-point-mid</x:v>
      </x:c>
      <x:c r="J6" s="6" t="str">
        <x:v>beam-simple-4m-point25</x:v>
      </x:c>
      <x:c r="K6" s="6" t="str">
        <x:v>水平单跨梁；跨中连接力点；左铰右竖向滚支；仅跨中竖向集中力；均匀单材料单截面</x:v>
      </x:c>
      <x:c r="L6" s="6" t="str">
        <x:v>基础工具；完整题面、参数/单位契约与真值待验证</x:v>
      </x:c>
      <x:c r="M6" s="6" t="str">
        <x:v>逐字段材料/截面数值及单位；完整支承自由度、荷载坐标与结果观测点</x:v>
      </x:c>
      <x:c r="N6" s="6" t="str">
        <x:v>独立规划骨架；可执行模型/数值真值待生成</x:v>
      </x:c>
      <x:c r="O6" s="30" t="n">
        <x:f>COUNTIFS('300题规划'!$C$2:$C$301,A6)</x:f>
        <x:v>1</x:v>
      </x:c>
      <x:c r="P6" s="5" t="str">
        <x:f>INDEX('300题规划'!$Y$2:$Y$301,MATCH(B6,'300题规划'!$A$2:$A$301,0))</x:f>
        <x:v>OpenSees</x:v>
      </x:c>
      <x:c r="Q6" s="5" t="str">
        <x:f>INDEX('300题规划'!$AB$2:$AB$301,MATCH(B6,'300题规划'!$A$2:$A$301,0))</x:f>
        <x:v>待逐题验证</x:v>
      </x:c>
    </x:row>
    <x:row r="7" ht="52.5" customHeight="1">
      <x:c r="A7" s="27" t="str">
        <x:v>M-STD-006</x:v>
      </x:c>
      <x:c r="B7" s="11" t="str">
        <x:v>STD-006</x:v>
      </x:c>
      <x:c r="C7" s="11" t="str">
        <x:v>均布载与端部力矩梁的计算摘要</x:v>
      </x:c>
      <x:c r="D7" s="11" t="str">
        <x:v>梁</x:v>
      </x:c>
      <x:c r="E7" s="11" t="str">
        <x:v>2D</x:v>
      </x:c>
      <x:c r="F7" s="11" t="str">
        <x:v>L2</x:v>
      </x:c>
      <x:c r="G7" s="11" t="str">
        <x:v>8m水平简支梁，左铰右竖向滚支，全跨向下18kN/m，右端施加全局正Y向20kN·m；跨中设置连通观测点。输出一页计算摘要，材料截面及单位按公共契约给出。 边界：左铰右竖向滚支。</x:v>
      </x:c>
      <x:c r="H7" s="11" t="str">
        <x:v>右端力矩作用于自由转角，滚支不增加转动约束</x:v>
      </x:c>
      <x:c r="I7" s="11" t="str">
        <x:v>beam-static-with-report</x:v>
      </x:c>
      <x:c r="J7" s="11" t="str">
        <x:v>beam-simple-8m-udl18</x:v>
      </x:c>
      <x:c r="K7" s="11" t="str">
        <x:v>水平单跨梁；右端转角自由；左铰右竖向滚支；全跨均布竖载加右端节点力矩；均匀单材料单截面</x:v>
      </x:c>
      <x:c r="L7" s="11" t="str">
        <x:v>节点力矩与端转角输出接口需验证；完整题面、参数/单位契约与新真值待建立</x:v>
      </x:c>
      <x:c r="M7" s="11" t="str">
        <x:v>逐字段材料/截面数值及单位；完整支承自由度、荷载坐标与结果观测点</x:v>
      </x:c>
      <x:c r="N7" s="11" t="str">
        <x:v>独立规划骨架；可执行模型/数值真值待生成</x:v>
      </x:c>
      <x:c r="O7" s="30" t="n">
        <x:f>COUNTIFS('300题规划'!$C$2:$C$301,A7)</x:f>
        <x:v>1</x:v>
      </x:c>
      <x:c r="P7" s="5" t="str">
        <x:f>INDEX('300题规划'!$Y$2:$Y$301,MATCH(B7,'300题规划'!$A$2:$A$301,0))</x:f>
        <x:v>OpenSees</x:v>
      </x:c>
      <x:c r="Q7" s="5" t="str">
        <x:f>INDEX('300题规划'!$AB$2:$AB$301,MATCH(B7,'300题规划'!$A$2:$A$301,0))</x:f>
        <x:v>待逐题验证</x:v>
      </x:c>
    </x:row>
    <x:row r="8" ht="54" customHeight="1">
      <x:c r="A8" s="28" t="str">
        <x:v>M-STD-007</x:v>
      </x:c>
      <x:c r="B8" s="6" t="str">
        <x:v>STD-007</x:v>
      </x:c>
      <x:c r="C8" s="6" t="str">
        <x:v>竖向均布载与轴向端力梁（混合单位）</x:v>
      </x:c>
      <x:c r="D8" s="6" t="str">
        <x:v>梁</x:v>
      </x:c>
      <x:c r="E8" s="6" t="str">
        <x:v>2D</x:v>
      </x:c>
      <x:c r="F8" s="6" t="str">
        <x:v>L2</x:v>
      </x:c>
      <x:c r="G8" s="6" t="str">
        <x:v>水平梁长8000mm，左铰右滚支且右端轴向自由；全跨向下15N/mm，右端另加全局X向10000N。截面用mm²/mm⁴、材料MPa，按公共契约给定完整属性；输出用mm和kN。 边界：左铰右竖向滚支；右端X自由。</x:v>
      </x:c>
      <x:c r="H8" s="6" t="str">
        <x:v>轴向端力与竖向均布载分量分离，并正确换算各字段单位</x:v>
      </x:c>
      <x:c r="I8" s="6" t="str">
        <x:v>beam-simply-supported-en</x:v>
      </x:c>
      <x:c r="J8" s="6" t="str">
        <x:v>beam-simple-8m-udl15</x:v>
      </x:c>
      <x:c r="K8" s="6" t="str">
        <x:v>水平单跨梁；轴向变形可用；左铰右竖向滚支；右端X自由；全跨均布竖载加右端X向拉力；均匀单材料单截面；混合输入单位</x:v>
      </x:c>
      <x:c r="L8" s="6" t="str">
        <x:v>基础工具；完整题面、参数/单位契约与真值待验证</x:v>
      </x:c>
      <x:c r="M8" s="6" t="str">
        <x:v>逐字段材料/截面数值及单位；完整支承自由度、荷载坐标与结果观测点</x:v>
      </x:c>
      <x:c r="N8" s="6" t="str">
        <x:v>独立规划骨架；可执行模型/数值真值待生成</x:v>
      </x:c>
      <x:c r="O8" s="30" t="n">
        <x:f>COUNTIFS('300题规划'!$C$2:$C$301,A8)</x:f>
        <x:v>1</x:v>
      </x:c>
      <x:c r="P8" s="5" t="str">
        <x:f>INDEX('300题规划'!$Y$2:$Y$301,MATCH(B8,'300题规划'!$A$2:$A$301,0))</x:f>
        <x:v>OpenSees</x:v>
      </x:c>
      <x:c r="Q8" s="5" t="str">
        <x:f>INDEX('300题规划'!$AB$2:$AB$301,MATCH(B8,'300题规划'!$A$2:$A$301,0))</x:f>
        <x:v>待逐题验证</x:v>
      </x:c>
    </x:row>
    <x:row r="9" ht="52.5" customHeight="1">
      <x:c r="A9" s="27" t="str">
        <x:v>M-STD-008</x:v>
      </x:c>
      <x:c r="B9" s="11" t="str">
        <x:v>STD-008</x:v>
      </x:c>
      <x:c r="C9" s="11" t="str">
        <x:v>中段局部均布荷载梁</x:v>
      </x:c>
      <x:c r="D9" s="11" t="str">
        <x:v>梁</x:v>
      </x:c>
      <x:c r="E9" s="11" t="str">
        <x:v>2D</x:v>
      </x:c>
      <x:c r="F9" s="11" t="str">
        <x:v>L2</x:v>
      </x:c>
      <x:c r="G9" s="11" t="str">
        <x:v>跨度9m，左铰右滚，仅x=2至7m向下12kN/m；完整属性按公共契约随题给出。 仅x=2m至7m有均布载；两端无载段保留，x=4.5m设置观测点。 边界：左铰右竖向滚支。</x:v>
      </x:c>
      <x:c r="H9" s="11" t="str">
        <x:v>加载区间端点必须正确分段</x:v>
      </x:c>
      <x:c r="I9" s="11" t="str">
        <x:v>无</x:v>
      </x:c>
      <x:c r="J9" s="11" t="str">
        <x:v>无</x:v>
      </x:c>
      <x:c r="K9" s="11" t="str">
        <x:v>水平单跨梁；局部载荷两端分段；左铰右竖向滚支；仅内部连续区间均布竖载；两端无载；均匀单材料单截面</x:v>
      </x:c>
      <x:c r="L9" s="11" t="str">
        <x:v>基础工具；完整题面、参数/单位契约与真值待验证</x:v>
      </x:c>
      <x:c r="M9" s="11" t="str">
        <x:v>逐字段材料/截面数值及单位；完整支承自由度、荷载坐标与结果观测点</x:v>
      </x:c>
      <x:c r="N9" s="11" t="str">
        <x:v>独立规划骨架；可执行模型/数值真值待生成</x:v>
      </x:c>
      <x:c r="O9" s="30" t="n">
        <x:f>COUNTIFS('300题规划'!$C$2:$C$301,A9)</x:f>
        <x:v>1</x:v>
      </x:c>
      <x:c r="P9" s="5" t="str">
        <x:f>INDEX('300题规划'!$Y$2:$Y$301,MATCH(B9,'300题规划'!$A$2:$A$301,0))</x:f>
        <x:v>OpenSees</x:v>
      </x:c>
      <x:c r="Q9" s="5" t="str">
        <x:f>INDEX('300题规划'!$AB$2:$AB$301,MATCH(B9,'300题规划'!$A$2:$A$301,0))</x:f>
        <x:v>待逐题验证</x:v>
      </x:c>
    </x:row>
    <x:row r="10" ht="52.5" customHeight="1">
      <x:c r="A10" s="28" t="str">
        <x:v>M-STD-009</x:v>
      </x:c>
      <x:c r="B10" s="6" t="str">
        <x:v>STD-009</x:v>
      </x:c>
      <x:c r="C10" s="6" t="str">
        <x:v>两处非对称集中荷载梁</x:v>
      </x:c>
      <x:c r="D10" s="6" t="str">
        <x:v>梁</x:v>
      </x:c>
      <x:c r="E10" s="6" t="str">
        <x:v>2D</x:v>
      </x:c>
      <x:c r="F10" s="6" t="str">
        <x:v>L2</x:v>
      </x:c>
      <x:c r="G10" s="6" t="str">
        <x:v>跨度10m，x=2m向下30kN、x=7m向下45kN，左铰右滚；完整属性按公共契约随题给出。 两处集中力分别以坐标和节点标签双重标识，其余节点不加载。 边界：左铰右竖向滚支。</x:v>
      </x:c>
      <x:c r="H10" s="6" t="str">
        <x:v>两个荷载位置和数值不可串用</x:v>
      </x:c>
      <x:c r="I10" s="6" t="str">
        <x:v>无</x:v>
      </x:c>
      <x:c r="J10" s="6" t="str">
        <x:v>无</x:v>
      </x:c>
      <x:c r="K10" s="6" t="str">
        <x:v>水平单跨梁；两个不对称力点；左铰右竖向滚支；两处不同竖向集中力；无均布载；均匀单材料单截面</x:v>
      </x:c>
      <x:c r="L10" s="6" t="str">
        <x:v>基础工具；完整题面、参数/单位契约与真值待验证</x:v>
      </x:c>
      <x:c r="M10" s="6" t="str">
        <x:v>逐字段材料/截面数值及单位；完整支承自由度、荷载坐标与结果观测点</x:v>
      </x:c>
      <x:c r="N10" s="6" t="str">
        <x:v>独立规划骨架；可执行模型/数值真值待生成</x:v>
      </x:c>
      <x:c r="O10" s="30" t="n">
        <x:f>COUNTIFS('300题规划'!$C$2:$C$301,A10)</x:f>
        <x:v>1</x:v>
      </x:c>
      <x:c r="P10" s="5" t="str">
        <x:f>INDEX('300题规划'!$Y$2:$Y$301,MATCH(B10,'300题规划'!$A$2:$A$301,0))</x:f>
        <x:v>OpenSees</x:v>
      </x:c>
      <x:c r="Q10" s="5" t="str">
        <x:f>INDEX('300题规划'!$AB$2:$AB$301,MATCH(B10,'300题规划'!$A$2:$A$301,0))</x:f>
        <x:v>待逐题验证</x:v>
      </x:c>
    </x:row>
    <x:row r="11" ht="52.5" customHeight="1">
      <x:c r="A11" s="27" t="str">
        <x:v>M-STD-010</x:v>
      </x:c>
      <x:c r="B11" s="11" t="str">
        <x:v>STD-010</x:v>
      </x:c>
      <x:c r="C11" s="11" t="str">
        <x:v>两端固支梁分组荷载</x:v>
      </x:c>
      <x:c r="D11" s="11" t="str">
        <x:v>梁</x:v>
      </x:c>
      <x:c r="E11" s="11" t="str">
        <x:v>2D</x:v>
      </x:c>
      <x:c r="F11" s="11" t="str">
        <x:v>L2</x:v>
      </x:c>
      <x:c r="G11" s="11" t="str">
        <x:v>跨度8m，两端固支，D为全跨8kN/m，L仅左半跨6kN/m；完整属性按公共契约随题给出。 单独求D、L及D+L；端部平移与转动均固定，x=4m为活载边界。 边界：两端固支。</x:v>
      </x:c>
      <x:c r="H11" s="11" t="str">
        <x:v>边界约束与荷载工况分离</x:v>
      </x:c>
      <x:c r="I11" s="11" t="str">
        <x:v>无</x:v>
      </x:c>
      <x:c r="J11" s="11" t="str">
        <x:v>无</x:v>
      </x:c>
      <x:c r="K11" s="11" t="str">
        <x:v>水平单跨梁；半跨加载边界；两端固支；D全跨均布；L左半均布；分工况与组合；均匀单材料单截面</x:v>
      </x:c>
      <x:c r="L11" s="11" t="str">
        <x:v>多工况/多组合执行及结果索引需验证；完整题面、参数/单位契约与真值待验证</x:v>
      </x:c>
      <x:c r="M11" s="11" t="str">
        <x:v>逐字段材料/截面数值及单位；完整支承自由度、荷载坐标与结果观测点；完整工况/组合系数表</x:v>
      </x:c>
      <x:c r="N11" s="11" t="str">
        <x:v>独立规划骨架；可执行模型/数值真值待生成</x:v>
      </x:c>
      <x:c r="O11" s="30" t="n">
        <x:f>COUNTIFS('300题规划'!$C$2:$C$301,A11)</x:f>
        <x:v>1</x:v>
      </x:c>
      <x:c r="P11" s="5" t="str">
        <x:f>INDEX('300题规划'!$Y$2:$Y$301,MATCH(B11,'300题规划'!$A$2:$A$301,0))</x:f>
        <x:v>OpenSees</x:v>
      </x:c>
      <x:c r="Q11" s="5" t="str">
        <x:f>INDEX('300题规划'!$AB$2:$AB$301,MATCH(B11,'300题规划'!$A$2:$A$301,0))</x:f>
        <x:v>待逐题验证</x:v>
      </x:c>
    </x:row>
    <x:row r="12" ht="52.5" customHeight="1">
      <x:c r="A12" s="28" t="str">
        <x:v>M-STD-011</x:v>
      </x:c>
      <x:c r="B12" s="6" t="str">
        <x:v>STD-011</x:v>
      </x:c>
      <x:c r="C12" s="6" t="str">
        <x:v>撑杆式支承的超静定梁</x:v>
      </x:c>
      <x:c r="D12" s="6" t="str">
        <x:v>梁</x:v>
      </x:c>
      <x:c r="E12" s="6" t="str">
        <x:v>2D</x:v>
      </x:c>
      <x:c r="F12" s="6" t="str">
        <x:v>L2</x:v>
      </x:c>
      <x:c r="G12" s="6" t="str">
        <x:v>跨度7m，左固支右竖向滚支，全跨10kN/m，x=5m处20kN；完整属性按公共契约随题给出。 右支座仅限制竖向位移，保留转角自由；x=5m设集中力节点。 边界：左固右竖向滚支。</x:v>
      </x:c>
      <x:c r="H12" s="6" t="str">
        <x:v>固支加滚支不能误作普通简支</x:v>
      </x:c>
      <x:c r="I12" s="6" t="str">
        <x:v>无</x:v>
      </x:c>
      <x:c r="J12" s="6" t="str">
        <x:v>无</x:v>
      </x:c>
      <x:c r="K12" s="6" t="str">
        <x:v>水平单跨梁；内部偏心力点；左固右竖向滚支；全跨均布竖载加偏心点载；均匀单材料单截面</x:v>
      </x:c>
      <x:c r="L12" s="6" t="str">
        <x:v>基础工具；完整题面、参数/单位契约与真值待验证</x:v>
      </x:c>
      <x:c r="M12" s="6" t="str">
        <x:v>逐字段材料/截面数值及单位；完整支承自由度、荷载坐标与结果观测点</x:v>
      </x:c>
      <x:c r="N12" s="6" t="str">
        <x:v>独立规划骨架；可执行模型/数值真值待生成</x:v>
      </x:c>
      <x:c r="O12" s="30" t="n">
        <x:f>COUNTIFS('300题规划'!$C$2:$C$301,A12)</x:f>
        <x:v>1</x:v>
      </x:c>
      <x:c r="P12" s="5" t="str">
        <x:f>INDEX('300题规划'!$Y$2:$Y$301,MATCH(B12,'300题规划'!$A$2:$A$301,0))</x:f>
        <x:v>OpenSees</x:v>
      </x:c>
      <x:c r="Q12" s="5" t="str">
        <x:f>INDEX('300题规划'!$AB$2:$AB$301,MATCH(B12,'300题规划'!$A$2:$A$301,0))</x:f>
        <x:v>待逐题验证</x:v>
      </x:c>
    </x:row>
    <x:row r="13" ht="54" customHeight="1">
      <x:c r="A13" s="27" t="str">
        <x:v>M-STD-012</x:v>
      </x:c>
      <x:c r="B13" s="11" t="str">
        <x:v>STD-012</x:v>
      </x:c>
      <x:c r="C13" s="11" t="str">
        <x:v>倾斜直梁全局竖向加载</x:v>
      </x:c>
      <x:c r="D13" s="11" t="str">
        <x:v>梁</x:v>
      </x:c>
      <x:c r="E13" s="11" t="str">
        <x:v>2D</x:v>
      </x:c>
      <x:c r="F13" s="11" t="str">
        <x:v>L2</x:v>
      </x:c>
      <x:c r="G13" s="11" t="str">
        <x:v>端点(0,0)和(6,3)m，左固支右自由，按水平投影位置给一个竖直集中力；完整属性按公共契约随题给出。 全局X水平、Z向上；在水平投影x=3m即杆中点(3,1.5)m施加向下20kN。 边界：左固右自由。</x:v>
      </x:c>
      <x:c r="H13" s="11" t="str">
        <x:v>全局方向与杆件方向的区别</x:v>
      </x:c>
      <x:c r="I13" s="11" t="str">
        <x:v>无</x:v>
      </x:c>
      <x:c r="J13" s="11" t="str">
        <x:v>无</x:v>
      </x:c>
      <x:c r="K13" s="11" t="str">
        <x:v>斜直梁；中点连接节点；左固右自由；中点全局竖向集中力；含局部轴向分量；均匀单材料单截面</x:v>
      </x:c>
      <x:c r="L13" s="11" t="str">
        <x:v>斜杆荷载与局部轴需验证；完整题面、参数/单位契约与真值待验证</x:v>
      </x:c>
      <x:c r="M13" s="11" t="str">
        <x:v>逐字段材料/截面数值及单位；完整支承自由度、荷载坐标与结果观测点</x:v>
      </x:c>
      <x:c r="N13" s="11" t="str">
        <x:v>独立规划骨架；可执行模型/数值真值待生成</x:v>
      </x:c>
      <x:c r="O13" s="30" t="n">
        <x:f>COUNTIFS('300题规划'!$C$2:$C$301,A13)</x:f>
        <x:v>1</x:v>
      </x:c>
      <x:c r="P13" s="5" t="str">
        <x:f>INDEX('300题规划'!$Y$2:$Y$301,MATCH(B13,'300题规划'!$A$2:$A$301,0))</x:f>
        <x:v>OpenSees</x:v>
      </x:c>
      <x:c r="Q13" s="5" t="str">
        <x:f>INDEX('300题规划'!$AB$2:$AB$301,MATCH(B13,'300题规划'!$A$2:$A$301,0))</x:f>
        <x:v>待逐题验证</x:v>
      </x:c>
    </x:row>
    <x:row r="14" ht="52.5" customHeight="1">
      <x:c r="A14" s="28" t="str">
        <x:v>M-STD-013</x:v>
      </x:c>
      <x:c r="B14" s="6" t="str">
        <x:v>STD-013</x:v>
      </x:c>
      <x:c r="C14" s="6" t="str">
        <x:v>三段截面不同的简支梁</x:v>
      </x:c>
      <x:c r="D14" s="6" t="str">
        <x:v>梁</x:v>
      </x:c>
      <x:c r="E14" s="6" t="str">
        <x:v>2D</x:v>
      </x:c>
      <x:c r="F14" s="6" t="str">
        <x:v>L2</x:v>
      </x:c>
      <x:c r="G14" s="6" t="str">
        <x:v>跨度9m，0至3m用B1、3至6m用B2、6至9m用B3，向下12kN/m；完整属性按公共契约随题给出。 三个截面A/I数值逐项提供；x=3m、6m共享节点，设置跨中观测点。 边界：左铰右竖向滚支。</x:v>
      </x:c>
      <x:c r="H14" s="6" t="str">
        <x:v>分段截面赋值和共节点连续性</x:v>
      </x:c>
      <x:c r="I14" s="6" t="str">
        <x:v>无</x:v>
      </x:c>
      <x:c r="J14" s="6" t="str">
        <x:v>无</x:v>
      </x:c>
      <x:c r="K14" s="6" t="str">
        <x:v>水平单跨梁；三段连续；左铰右竖向滚支；全跨均布竖载；单材料；三段三截面B1/B2/B3</x:v>
      </x:c>
      <x:c r="L14" s="6" t="str">
        <x:v>基础工具；完整题面、参数/单位契约与真值待验证</x:v>
      </x:c>
      <x:c r="M14" s="6" t="str">
        <x:v>逐字段材料/截面数值及单位；完整支承自由度、荷载坐标与结果观测点</x:v>
      </x:c>
      <x:c r="N14" s="6" t="str">
        <x:v>独立规划骨架；可执行模型/数值真值待生成</x:v>
      </x:c>
      <x:c r="O14" s="30" t="n">
        <x:f>COUNTIFS('300题规划'!$C$2:$C$301,A14)</x:f>
        <x:v>1</x:v>
      </x:c>
      <x:c r="P14" s="5" t="str">
        <x:f>INDEX('300题规划'!$Y$2:$Y$301,MATCH(B14,'300题规划'!$A$2:$A$301,0))</x:f>
        <x:v>OpenSees</x:v>
      </x:c>
      <x:c r="Q14" s="5" t="str">
        <x:f>INDEX('300题规划'!$AB$2:$AB$301,MATCH(B14,'300题规划'!$A$2:$A$301,0))</x:f>
        <x:v>待逐题验证</x:v>
      </x:c>
    </x:row>
    <x:row r="15" ht="52.5" customHeight="1">
      <x:c r="A15" s="27" t="str">
        <x:v>M-STD-014</x:v>
      </x:c>
      <x:c r="B15" s="11" t="str">
        <x:v>STD-014</x:v>
      </x:c>
      <x:c r="C15" s="11" t="str">
        <x:v>分段材料与局部载荷梁</x:v>
      </x:c>
      <x:c r="D15" s="11" t="str">
        <x:v>梁</x:v>
      </x:c>
      <x:c r="E15" s="11" t="str">
        <x:v>2D</x:v>
      </x:c>
      <x:c r="F15" s="11" t="str">
        <x:v>L3</x:v>
      </x:c>
      <x:c r="G15" s="11" t="str">
        <x:v>跨度10m，x=4m处分材料组，x=2至8m向下9kN/m，x=6m处25kN；完整属性按公共契约随题给出。 材料界面x=4m；荷载边界x=2/8m；点载在x=6m，截面记录明确。 边界：左铰右竖向滚支。</x:v>
      </x:c>
      <x:c r="H15" s="11" t="str">
        <x:v>材料、分段、点载和加载区间需联合映射</x:v>
      </x:c>
      <x:c r="I15" s="11" t="str">
        <x:v>无</x:v>
      </x:c>
      <x:c r="J15" s="11" t="str">
        <x:v>无</x:v>
      </x:c>
      <x:c r="K15" s="11" t="str">
        <x:v>水平单跨梁；材料分界与力点及加载边界错开；左铰右竖向滚支；中部局部均布载加偏心点载；两材料分段；明确截面组</x:v>
      </x:c>
      <x:c r="L15" s="11" t="str">
        <x:v>基础工具；完整题面、参数/单位契约与真值待验证</x:v>
      </x:c>
      <x:c r="M15" s="11" t="str">
        <x:v>逐字段材料/截面数值及单位；完整支承自由度、荷载坐标与结果观测点</x:v>
      </x:c>
      <x:c r="N15" s="11" t="str">
        <x:v>独立规划骨架；可执行模型/数值真值待生成</x:v>
      </x:c>
      <x:c r="O15" s="30" t="n">
        <x:f>COUNTIFS('300题规划'!$C$2:$C$301,A15)</x:f>
        <x:v>1</x:v>
      </x:c>
      <x:c r="P15" s="5" t="str">
        <x:f>INDEX('300题规划'!$Y$2:$Y$301,MATCH(B15,'300题规划'!$A$2:$A$301,0))</x:f>
        <x:v>OpenSees</x:v>
      </x:c>
      <x:c r="Q15" s="5" t="str">
        <x:f>INDEX('300题规划'!$AB$2:$AB$301,MATCH(B15,'300题规划'!$A$2:$A$301,0))</x:f>
        <x:v>待逐题验证</x:v>
      </x:c>
    </x:row>
    <x:row r="16" ht="52.5" customHeight="1">
      <x:c r="A16" s="28" t="str">
        <x:v>M-STD-015</x:v>
      </x:c>
      <x:c r="B16" s="6" t="str">
        <x:v>STD-015</x:v>
      </x:c>
      <x:c r="C16" s="6" t="str">
        <x:v>5m加6m双跨连续梁</x:v>
      </x:c>
      <x:c r="D16" s="6" t="str">
        <x:v>连续梁</x:v>
      </x:c>
      <x:c r="E16" s="6" t="str">
        <x:v>2D</x:v>
      </x:c>
      <x:c r="F16" s="6" t="str">
        <x:v>L1</x:v>
      </x:c>
      <x:c r="G16" s="6" t="str">
        <x:v>支座x=0、5、11m，左铰其余滚支，全梁12kN/m；完整属性按公共契约随题给出。 中支座约束竖向位移，但两跨转角连续；观测x=2.5m、8m。 边界：左铰其余两支座竖向滚支。</x:v>
      </x:c>
      <x:c r="H16" s="6" t="str">
        <x:v>中间支座不意味着梁断开</x:v>
      </x:c>
      <x:c r="I16" s="6" t="str">
        <x:v>double-span-beam-static</x:v>
      </x:c>
      <x:c r="J16" s="6" t="str">
        <x:v>dspan-simple-5-6</x:v>
      </x:c>
      <x:c r="K16" s="6" t="str">
        <x:v>不等两跨连续梁；中支座无内铰；左铰其余两支座竖向滚支；两跨同值全跨均布竖载；均匀单材料单截面</x:v>
      </x:c>
      <x:c r="L16" s="6" t="str">
        <x:v>基础工具；完整题面、参数/单位契约与真值待验证</x:v>
      </x:c>
      <x:c r="M16" s="6" t="str">
        <x:v>逐字段材料/截面数值及单位；完整支承自由度、荷载坐标与结果观测点</x:v>
      </x:c>
      <x:c r="N16" s="6" t="str">
        <x:v>独立规划骨架；可执行模型/数值真值待生成</x:v>
      </x:c>
      <x:c r="O16" s="30" t="n">
        <x:f>COUNTIFS('300题规划'!$C$2:$C$301,A16)</x:f>
        <x:v>1</x:v>
      </x:c>
      <x:c r="P16" s="5" t="str">
        <x:f>INDEX('300题规划'!$Y$2:$Y$301,MATCH(B16,'300题规划'!$A$2:$A$301,0))</x:f>
        <x:v>OpenSees</x:v>
      </x:c>
      <x:c r="Q16" s="5" t="str">
        <x:f>INDEX('300题规划'!$AB$2:$AB$301,MATCH(B16,'300题规划'!$A$2:$A$301,0))</x:f>
        <x:v>待逐题验证</x:v>
      </x:c>
    </x:row>
    <x:row r="17" ht="52.5" customHeight="1">
      <x:c r="A17" s="27" t="str">
        <x:v>M-STD-016</x:v>
      </x:c>
      <x:c r="B17" s="11" t="str">
        <x:v>STD-016</x:v>
      </x:c>
      <x:c r="C17" s="11" t="str">
        <x:v>不等跨梁长跨集中力</x:v>
      </x:c>
      <x:c r="D17" s="11" t="str">
        <x:v>连续梁</x:v>
      </x:c>
      <x:c r="E17" s="11" t="str">
        <x:v>2D</x:v>
      </x:c>
      <x:c r="F17" s="11" t="str">
        <x:v>L2</x:v>
      </x:c>
      <x:c r="G17" s="11" t="str">
        <x:v>跨度4m和7m，全跨10kN/m，长跨中点30kN；完整属性按公共契约随题给出。 长跨中点为全局x=7.5m，不能按全长中点布置点载。 边界：左铰其余两支座竖向滚支。</x:v>
      </x:c>
      <x:c r="H17" s="11" t="str">
        <x:v>长跨局部坐标换算与连续支座</x:v>
      </x:c>
      <x:c r="I17" s="11" t="str">
        <x:v>double-span-beam-unequal</x:v>
      </x:c>
      <x:c r="J17" s="11" t="str">
        <x:v>dspan-unequal-4-7-udl10-point30</x:v>
      </x:c>
      <x:c r="K17" s="11" t="str">
        <x:v>不等两跨连续梁；长跨中点连接；左铰其余两支座竖向滚支；两跨均布竖载加长跨中点集中力；均匀单材料单截面</x:v>
      </x:c>
      <x:c r="L17" s="11" t="str">
        <x:v>基础工具；完整题面、参数/单位契约与真值待验证</x:v>
      </x:c>
      <x:c r="M17" s="11" t="str">
        <x:v>逐字段材料/截面数值及单位；完整支承自由度、荷载坐标与结果观测点</x:v>
      </x:c>
      <x:c r="N17" s="11" t="str">
        <x:v>独立规划骨架；可执行模型/数值真值待生成</x:v>
      </x:c>
      <x:c r="O17" s="30" t="n">
        <x:f>COUNTIFS('300题规划'!$C$2:$C$301,A17)</x:f>
        <x:v>1</x:v>
      </x:c>
      <x:c r="P17" s="5" t="str">
        <x:f>INDEX('300题规划'!$Y$2:$Y$301,MATCH(B17,'300题规划'!$A$2:$A$301,0))</x:f>
        <x:v>OpenSees</x:v>
      </x:c>
      <x:c r="Q17" s="5" t="str">
        <x:f>INDEX('300题规划'!$AB$2:$AB$301,MATCH(B17,'300题规划'!$A$2:$A$301,0))</x:f>
        <x:v>待逐题验证</x:v>
      </x:c>
    </x:row>
    <x:row r="18" ht="52.5" customHeight="1">
      <x:c r="A18" s="28" t="str">
        <x:v>M-STD-017</x:v>
      </x:c>
      <x:c r="B18" s="6" t="str">
        <x:v>STD-017</x:v>
      </x:c>
      <x:c r="C18" s="6" t="str">
        <x:v>4m加5m加4m三跨梁</x:v>
      </x:c>
      <x:c r="D18" s="6" t="str">
        <x:v>连续梁</x:v>
      </x:c>
      <x:c r="E18" s="6" t="str">
        <x:v>2D</x:v>
      </x:c>
      <x:c r="F18" s="6" t="str">
        <x:v>L2</x:v>
      </x:c>
      <x:c r="G18" s="6" t="str">
        <x:v>支座x=0、4、9、13m，全跨15kN/m，左铰其余滚支；完整属性按公共契约随题给出。 按全局x=0/4/9/13m布支座，所有支座处梁连续，观测各跨中。 边界：左铰其余三支座竖向滚支。</x:v>
      </x:c>
      <x:c r="H18" s="6" t="str">
        <x:v>三跨连通和四支座约束</x:v>
      </x:c>
      <x:c r="I18" s="6" t="str">
        <x:v>three-span-continuous-beam-static</x:v>
      </x:c>
      <x:c r="J18" s="6" t="str">
        <x:v>dspan-complex-3span</x:v>
      </x:c>
      <x:c r="K18" s="6" t="str">
        <x:v>三跨连续梁；左右等跨中跨较长；左铰其余三支座竖向滚支；三跨同值均布竖载；均匀单材料单截面</x:v>
      </x:c>
      <x:c r="L18" s="6" t="str">
        <x:v>基础工具；完整题面、参数/单位契约与真值待验证</x:v>
      </x:c>
      <x:c r="M18" s="6" t="str">
        <x:v>逐字段材料/截面数值及单位；完整支承自由度、荷载坐标与结果观测点</x:v>
      </x:c>
      <x:c r="N18" s="6" t="str">
        <x:v>独立规划骨架；可执行模型/数值真值待生成</x:v>
      </x:c>
      <x:c r="O18" s="30" t="n">
        <x:f>COUNTIFS('300题规划'!$C$2:$C$301,A18)</x:f>
        <x:v>1</x:v>
      </x:c>
      <x:c r="P18" s="5" t="str">
        <x:f>INDEX('300题规划'!$Y$2:$Y$301,MATCH(B18,'300题规划'!$A$2:$A$301,0))</x:f>
        <x:v>OpenSees</x:v>
      </x:c>
      <x:c r="Q18" s="5" t="str">
        <x:f>INDEX('300题规划'!$AB$2:$AB$301,MATCH(B18,'300题规划'!$A$2:$A$301,0))</x:f>
        <x:v>待逐题验证</x:v>
      </x:c>
    </x:row>
    <x:row r="19" ht="52.5" customHeight="1">
      <x:c r="A19" s="27" t="str">
        <x:v>M-STD-018</x:v>
      </x:c>
      <x:c r="B19" s="11" t="str">
        <x:v>STD-018</x:v>
      </x:c>
      <x:c r="C19" s="11" t="str">
        <x:v>双跨梁仅第一跨加载</x:v>
      </x:c>
      <x:c r="D19" s="11" t="str">
        <x:v>连续梁</x:v>
      </x:c>
      <x:c r="E19" s="11" t="str">
        <x:v>2D</x:v>
      </x:c>
      <x:c r="F19" s="11" t="str">
        <x:v>L2</x:v>
      </x:c>
      <x:c r="G19" s="11" t="str">
        <x:v>跨度5m和7m，只第一跨向下16kN/m；完整属性按公共契约随题给出。 第二跨无外加荷载但保留完整构件和约束，设置两跨中观测点。 边界：左铰其余两支座竖向滚支。</x:v>
      </x:c>
      <x:c r="H19" s="11" t="str">
        <x:v>无载跨不能补载或删除</x:v>
      </x:c>
      <x:c r="I19" s="11" t="str">
        <x:v>无</x:v>
      </x:c>
      <x:c r="J19" s="11" t="str">
        <x:v>无</x:v>
      </x:c>
      <x:c r="K19" s="11" t="str">
        <x:v>不等两跨连续梁；左铰其余两支座竖向滚支；仅第一跨均布竖载；第二跨无外载；均匀单材料单截面</x:v>
      </x:c>
      <x:c r="L19" s="11" t="str">
        <x:v>基础工具；完整题面、参数/单位契约与真值待验证</x:v>
      </x:c>
      <x:c r="M19" s="11" t="str">
        <x:v>逐字段材料/截面数值及单位；完整支承自由度、荷载坐标与结果观测点</x:v>
      </x:c>
      <x:c r="N19" s="11" t="str">
        <x:v>独立规划骨架；可执行模型/数值真值待生成</x:v>
      </x:c>
      <x:c r="O19" s="30" t="n">
        <x:f>COUNTIFS('300题规划'!$C$2:$C$301,A19)</x:f>
        <x:v>1</x:v>
      </x:c>
      <x:c r="P19" s="5" t="str">
        <x:f>INDEX('300题规划'!$Y$2:$Y$301,MATCH(B19,'300题规划'!$A$2:$A$301,0))</x:f>
        <x:v>OpenSees</x:v>
      </x:c>
      <x:c r="Q19" s="5" t="str">
        <x:f>INDEX('300题规划'!$AB$2:$AB$301,MATCH(B19,'300题规划'!$A$2:$A$301,0))</x:f>
        <x:v>待逐题验证</x:v>
      </x:c>
    </x:row>
    <x:row r="20" ht="54" customHeight="1">
      <x:c r="A20" s="28" t="str">
        <x:v>M-STD-019</x:v>
      </x:c>
      <x:c r="B20" s="6" t="str">
        <x:v>STD-019</x:v>
      </x:c>
      <x:c r="C20" s="6" t="str">
        <x:v>三跨梁交替活载组合</x:v>
      </x:c>
      <x:c r="D20" s="6" t="str">
        <x:v>连续梁</x:v>
      </x:c>
      <x:c r="E20" s="6" t="str">
        <x:v>2D</x:v>
      </x:c>
      <x:c r="F20" s="6" t="str">
        <x:v>L3</x:v>
      </x:c>
      <x:c r="G20" s="6" t="str">
        <x:v>跨度4、6、4m，D全跨8kN/m，L1仅中跨、L2仅两边跨各10kN/m，题定三个组合；完整属性按公共契约随题给出。 明确C0=D、C1=D+L1、C2=D+L2；各工况独立，非按规范自动选系数。 边界：左铰其余三支座竖向滚支。</x:v>
      </x:c>
      <x:c r="H20" s="6" t="str">
        <x:v>工况独立保存和组合系数正确</x:v>
      </x:c>
      <x:c r="I20" s="6" t="str">
        <x:v>无</x:v>
      </x:c>
      <x:c r="J20" s="6" t="str">
        <x:v>无</x:v>
      </x:c>
      <x:c r="K20" s="6" t="str">
        <x:v>三跨连续梁；左右等跨中跨较长；左铰其余三支座竖向滚支；D全跨；L1中跨；L2两边跨；三个组合；均匀单材料单截面</x:v>
      </x:c>
      <x:c r="L20" s="6" t="str">
        <x:v>多组合执行契约需验证；完整题面、参数/单位契约与真值待验证</x:v>
      </x:c>
      <x:c r="M20" s="6" t="str">
        <x:v>逐字段材料/截面数值及单位；完整支承自由度、荷载坐标与结果观测点；完整工况/组合系数表</x:v>
      </x:c>
      <x:c r="N20" s="6" t="str">
        <x:v>独立规划骨架；可执行模型/数值真值待生成</x:v>
      </x:c>
      <x:c r="O20" s="30" t="n">
        <x:f>COUNTIFS('300题规划'!$C$2:$C$301,A20)</x:f>
        <x:v>1</x:v>
      </x:c>
      <x:c r="P20" s="5" t="str">
        <x:f>INDEX('300题规划'!$Y$2:$Y$301,MATCH(B20,'300题规划'!$A$2:$A$301,0))</x:f>
        <x:v>OpenSees</x:v>
      </x:c>
      <x:c r="Q20" s="5" t="str">
        <x:f>INDEX('300题规划'!$AB$2:$AB$301,MATCH(B20,'300题规划'!$A$2:$A$301,0))</x:f>
        <x:v>待逐题验证</x:v>
      </x:c>
    </x:row>
    <x:row r="21" ht="52.5" customHeight="1">
      <x:c r="A21" s="27" t="str">
        <x:v>M-STD-020</x:v>
      </x:c>
      <x:c r="B21" s="11" t="str">
        <x:v>STD-020</x:v>
      </x:c>
      <x:c r="C21" s="11" t="str">
        <x:v>三跨递增跨度梁</x:v>
      </x:c>
      <x:c r="D21" s="11" t="str">
        <x:v>连续梁</x:v>
      </x:c>
      <x:c r="E21" s="11" t="str">
        <x:v>2D</x:v>
      </x:c>
      <x:c r="F21" s="11" t="str">
        <x:v>L2</x:v>
      </x:c>
      <x:c r="G21" s="11" t="str">
        <x:v>跨度3、5、7m，各跨均布载分别8、10、12kN/m；完整属性按公共契约随题给出。 支座坐标为0/3/8/15m，按第一到第三跨配载，不按长度排序重排。 边界：左铰其余三支座竖向滚支。</x:v>
      </x:c>
      <x:c r="H21" s="11" t="str">
        <x:v>跨度列表与荷载列表一一对应</x:v>
      </x:c>
      <x:c r="I21" s="11" t="str">
        <x:v>无</x:v>
      </x:c>
      <x:c r="J21" s="11" t="str">
        <x:v>无</x:v>
      </x:c>
      <x:c r="K21" s="11" t="str">
        <x:v>三跨连续梁；跨度递增；左铰其余三支座竖向滚支；各跨不同均布竖载，按跨序对应；均匀单材料单截面</x:v>
      </x:c>
      <x:c r="L21" s="11" t="str">
        <x:v>基础工具；完整题面、参数/单位契约与真值待验证</x:v>
      </x:c>
      <x:c r="M21" s="11" t="str">
        <x:v>逐字段材料/截面数值及单位；完整支承自由度、荷载坐标与结果观测点</x:v>
      </x:c>
      <x:c r="N21" s="11" t="str">
        <x:v>独立规划骨架；可执行模型/数值真值待生成</x:v>
      </x:c>
      <x:c r="O21" s="30" t="n">
        <x:f>COUNTIFS('300题规划'!$C$2:$C$301,A21)</x:f>
        <x:v>1</x:v>
      </x:c>
      <x:c r="P21" s="5" t="str">
        <x:f>INDEX('300题规划'!$Y$2:$Y$301,MATCH(B21,'300题规划'!$A$2:$A$301,0))</x:f>
        <x:v>OpenSees</x:v>
      </x:c>
      <x:c r="Q21" s="5" t="str">
        <x:f>INDEX('300题规划'!$AB$2:$AB$301,MATCH(B21,'300题规划'!$A$2:$A$301,0))</x:f>
        <x:v>待逐题验证</x:v>
      </x:c>
    </x:row>
    <x:row r="22" ht="52.5" customHeight="1">
      <x:c r="A22" s="28" t="str">
        <x:v>M-STD-021</x:v>
      </x:c>
      <x:c r="B22" s="6" t="str">
        <x:v>STD-021</x:v>
      </x:c>
      <x:c r="C22" s="6" t="str">
        <x:v>刚度突变的两跨梁</x:v>
      </x:c>
      <x:c r="D22" s="6" t="str">
        <x:v>连续梁</x:v>
      </x:c>
      <x:c r="E22" s="6" t="str">
        <x:v>2D</x:v>
      </x:c>
      <x:c r="F22" s="6" t="str">
        <x:v>L2</x:v>
      </x:c>
      <x:c r="G22" s="6" t="str">
        <x:v>跨度6m和6m，两跨分别使用B1和B2，均布载10kN/m；完整属性按公共契约随题给出。 B1、B2的A/I独立给出；中支座一个共用节点，未设置端释放。 边界：左铰其余两支座竖向滚支。</x:v>
      </x:c>
      <x:c r="H22" s="6" t="str">
        <x:v>共用支座处节点连续但截面不同</x:v>
      </x:c>
      <x:c r="I22" s="6" t="str">
        <x:v>无</x:v>
      </x:c>
      <x:c r="J22" s="6" t="str">
        <x:v>无</x:v>
      </x:c>
      <x:c r="K22" s="6" t="str">
        <x:v>等长两跨连续梁；左铰其余两支座竖向滚支；两跨同值均布竖载；单材料；第一跨B1第二跨B2</x:v>
      </x:c>
      <x:c r="L22" s="6" t="str">
        <x:v>基础工具；完整题面、参数/单位契约与真值待验证</x:v>
      </x:c>
      <x:c r="M22" s="6" t="str">
        <x:v>逐字段材料/截面数值及单位；完整支承自由度、荷载坐标与结果观测点</x:v>
      </x:c>
      <x:c r="N22" s="6" t="str">
        <x:v>独立规划骨架；可执行模型/数值真值待生成</x:v>
      </x:c>
      <x:c r="O22" s="30" t="n">
        <x:f>COUNTIFS('300题规划'!$C$2:$C$301,A22)</x:f>
        <x:v>1</x:v>
      </x:c>
      <x:c r="P22" s="5" t="str">
        <x:f>INDEX('300题规划'!$Y$2:$Y$301,MATCH(B22,'300题规划'!$A$2:$A$301,0))</x:f>
        <x:v>OpenSees</x:v>
      </x:c>
      <x:c r="Q22" s="5" t="str">
        <x:f>INDEX('300题规划'!$AB$2:$AB$301,MATCH(B22,'300题规划'!$A$2:$A$301,0))</x:f>
        <x:v>待逐题验证</x:v>
      </x:c>
    </x:row>
    <x:row r="23" ht="54" customHeight="1">
      <x:c r="A23" s="27" t="str">
        <x:v>M-STD-022</x:v>
      </x:c>
      <x:c r="B23" s="11" t="str">
        <x:v>STD-022</x:v>
      </x:c>
      <x:c r="C23" s="11" t="str">
        <x:v>双跨连续梁末端外伸</x:v>
      </x:c>
      <x:c r="D23" s="11" t="str">
        <x:v>连续梁</x:v>
      </x:c>
      <x:c r="E23" s="11" t="str">
        <x:v>2D</x:v>
      </x:c>
      <x:c r="F23" s="11" t="str">
        <x:v>L3</x:v>
      </x:c>
      <x:c r="G23" s="11" t="str">
        <x:v>支座x=0、5、10m，梁到x=12m，全长8kN/m，外伸端10kN；完整属性按公共契约随题给出。 x=10m为支座而不是梁端，最后2m外伸段保留，端力作用x=12m。 边界：左铰中部与外伸根部竖向滚支。</x:v>
      </x:c>
      <x:c r="H23" s="11" t="str">
        <x:v>连续跨、外伸段与端力同时定位</x:v>
      </x:c>
      <x:c r="I23" s="11" t="str">
        <x:v>无</x:v>
      </x:c>
      <x:c r="J23" s="11" t="str">
        <x:v>无</x:v>
      </x:c>
      <x:c r="K23" s="11" t="str">
        <x:v>两跨连续梁加右侧外伸段；左铰中部与外伸根部竖向滚支；全长均布竖载加外伸自由端点载；均匀单材料单截面</x:v>
      </x:c>
      <x:c r="L23" s="11" t="str">
        <x:v>基础工具；完整题面、参数/单位契约与真值待验证</x:v>
      </x:c>
      <x:c r="M23" s="11" t="str">
        <x:v>逐字段材料/截面数值及单位；完整支承自由度、荷载坐标与结果观测点</x:v>
      </x:c>
      <x:c r="N23" s="11" t="str">
        <x:v>独立规划骨架；可执行模型/数值真值待生成</x:v>
      </x:c>
      <x:c r="O23" s="30" t="n">
        <x:f>COUNTIFS('300题规划'!$C$2:$C$301,A23)</x:f>
        <x:v>1</x:v>
      </x:c>
      <x:c r="P23" s="5" t="str">
        <x:f>INDEX('300题规划'!$Y$2:$Y$301,MATCH(B23,'300题规划'!$A$2:$A$301,0))</x:f>
        <x:v>OpenSees</x:v>
      </x:c>
      <x:c r="Q23" s="5" t="str">
        <x:f>INDEX('300题规划'!$AB$2:$AB$301,MATCH(B23,'300题规划'!$A$2:$A$301,0))</x:f>
        <x:v>待逐题验证</x:v>
      </x:c>
    </x:row>
    <x:row r="24" ht="52.5" customHeight="1">
      <x:c r="A24" s="28" t="str">
        <x:v>M-STD-023</x:v>
      </x:c>
      <x:c r="B24" s="6" t="str">
        <x:v>STD-023</x:v>
      </x:c>
      <x:c r="C24" s="6" t="str">
        <x:v>支座处与跨内集中力并存</x:v>
      </x:c>
      <x:c r="D24" s="6" t="str">
        <x:v>连续梁</x:v>
      </x:c>
      <x:c r="E24" s="6" t="str">
        <x:v>2D</x:v>
      </x:c>
      <x:c r="F24" s="6" t="str">
        <x:v>L2</x:v>
      </x:c>
      <x:c r="G24" s="6" t="str">
        <x:v>双跨4、6m，中支座处30kN，第二跨中点20kN；完整属性按公共契约随题给出。 中支座x=4m处30kN与第二跨中x=7m处20kN分别建立节点力。 边界：左铰其余两支座竖向滚支。</x:v>
      </x:c>
      <x:c r="H24" s="6" t="str">
        <x:v>支座节点荷载不应挪到跨中</x:v>
      </x:c>
      <x:c r="I24" s="6" t="str">
        <x:v>无</x:v>
      </x:c>
      <x:c r="J24" s="6" t="str">
        <x:v>无</x:v>
      </x:c>
      <x:c r="K24" s="6" t="str">
        <x:v>不等两跨连续梁；中支座与长跨中点分别受力；左铰其余两支座竖向滚支；中支座点载与第二跨中点载；无均布载；均匀单材料单截面</x:v>
      </x:c>
      <x:c r="L24" s="6" t="str">
        <x:v>基础工具；完整题面、参数/单位契约与真值待验证</x:v>
      </x:c>
      <x:c r="M24" s="6" t="str">
        <x:v>逐字段材料/截面数值及单位；完整支承自由度、荷载坐标与结果观测点</x:v>
      </x:c>
      <x:c r="N24" s="6" t="str">
        <x:v>独立规划骨架；可执行模型/数值真值待生成</x:v>
      </x:c>
      <x:c r="O24" s="30" t="n">
        <x:f>COUNTIFS('300题规划'!$C$2:$C$301,A24)</x:f>
        <x:v>1</x:v>
      </x:c>
      <x:c r="P24" s="5" t="str">
        <x:f>INDEX('300题规划'!$Y$2:$Y$301,MATCH(B24,'300题规划'!$A$2:$A$301,0))</x:f>
        <x:v>OpenSees</x:v>
      </x:c>
      <x:c r="Q24" s="5" t="str">
        <x:f>INDEX('300题规划'!$AB$2:$AB$301,MATCH(B24,'300题规划'!$A$2:$A$301,0))</x:f>
        <x:v>待逐题验证</x:v>
      </x:c>
    </x:row>
    <x:row r="25" ht="54" customHeight="1">
      <x:c r="A25" s="27" t="str">
        <x:v>M-STD-024</x:v>
      </x:c>
      <x:c r="B25" s="11" t="str">
        <x:v>STD-024</x:v>
      </x:c>
      <x:c r="C25" s="11" t="str">
        <x:v>上拔与向下工况的连续梁</x:v>
      </x:c>
      <x:c r="D25" s="11" t="str">
        <x:v>连续梁</x:v>
      </x:c>
      <x:c r="E25" s="11" t="str">
        <x:v>2D</x:v>
      </x:c>
      <x:c r="F25" s="11" t="str">
        <x:v>L3</x:v>
      </x:c>
      <x:c r="G25" s="11" t="str">
        <x:v>三跨5、5、5m，D全跨向下8kN/m，W仅中跨向上6kN/m，显式符号约定；完整属性按公共契约随题给出。 定义向上为正Z；C0=D、C1=D+W，滚支为双向约束，允许计算负反力。 边界：左铰其余三支座双向竖向滚支。</x:v>
      </x:c>
      <x:c r="H25" s="11" t="str">
        <x:v>相反方向荷载及组合不能误删为非法</x:v>
      </x:c>
      <x:c r="I25" s="11" t="str">
        <x:v>无</x:v>
      </x:c>
      <x:c r="J25" s="11" t="str">
        <x:v>无</x:v>
      </x:c>
      <x:c r="K25" s="11" t="str">
        <x:v>等长三跨连续梁；左铰其余三支座双向竖向滚支；D全跨向下；W中跨向上；两个组合；均匀单材料单截面</x:v>
      </x:c>
      <x:c r="L25" s="11" t="str">
        <x:v>多组合执行契约需验证；完整题面、参数/单位契约与真值待验证</x:v>
      </x:c>
      <x:c r="M25" s="11" t="str">
        <x:v>逐字段材料/截面数值及单位；完整支承自由度、荷载坐标与结果观测点；完整工况/组合系数表</x:v>
      </x:c>
      <x:c r="N25" s="11" t="str">
        <x:v>独立规划骨架；可执行模型/数值真值待生成</x:v>
      </x:c>
      <x:c r="O25" s="30" t="n">
        <x:f>COUNTIFS('300题规划'!$C$2:$C$301,A25)</x:f>
        <x:v>1</x:v>
      </x:c>
      <x:c r="P25" s="5" t="str">
        <x:f>INDEX('300题规划'!$Y$2:$Y$301,MATCH(B25,'300题规划'!$A$2:$A$301,0))</x:f>
        <x:v>OpenSees</x:v>
      </x:c>
      <x:c r="Q25" s="5" t="str">
        <x:f>INDEX('300题规划'!$AB$2:$AB$301,MATCH(B25,'300题规划'!$A$2:$A$301,0))</x:f>
        <x:v>待逐题验证</x:v>
      </x:c>
    </x:row>
    <x:row r="26" ht="54" customHeight="1">
      <x:c r="A26" s="28" t="str">
        <x:v>M-STD-025</x:v>
      </x:c>
      <x:c r="B26" s="6" t="str">
        <x:v>STD-025</x:v>
      </x:c>
      <x:c r="C26" s="6" t="str">
        <x:v>带节点力矩的两跨梁</x:v>
      </x:c>
      <x:c r="D26" s="6" t="str">
        <x:v>连续梁</x:v>
      </x:c>
      <x:c r="E26" s="6" t="str">
        <x:v>2D</x:v>
      </x:c>
      <x:c r="F26" s="6" t="str">
        <x:v>L2</x:v>
      </x:c>
      <x:c r="G26" s="6" t="str">
        <x:v>两跨5、5m，全跨6kN/m，在右端施加全局Y轴20kN·m，符号明确；完整属性按公共契约随题给出。 全局Z向上、梁沿X，右端20kN·m取正Y方向；右滚支转角仍自由。 边界：左铰其余两支座竖向滚支。</x:v>
      </x:c>
      <x:c r="H26" s="6" t="str">
        <x:v>节点力矩与集中力量纲不同</x:v>
      </x:c>
      <x:c r="I26" s="6" t="str">
        <x:v>无</x:v>
      </x:c>
      <x:c r="J26" s="6" t="str">
        <x:v>无</x:v>
      </x:c>
      <x:c r="K26" s="6" t="str">
        <x:v>等长两跨连续梁；右端转角自由；左铰其余两支座竖向滚支；全长均布竖载加右端Y向力矩；均匀单材料单截面</x:v>
      </x:c>
      <x:c r="L26" s="6" t="str">
        <x:v>节点力矩输入需验证；完整题面、参数/单位契约与真值待验证</x:v>
      </x:c>
      <x:c r="M26" s="6" t="str">
        <x:v>逐字段材料/截面数值及单位；完整支承自由度、荷载坐标与结果观测点</x:v>
      </x:c>
      <x:c r="N26" s="6" t="str">
        <x:v>独立规划骨架；可执行模型/数值真值待生成</x:v>
      </x:c>
      <x:c r="O26" s="30" t="n">
        <x:f>COUNTIFS('300题规划'!$C$2:$C$301,A26)</x:f>
        <x:v>1</x:v>
      </x:c>
      <x:c r="P26" s="5" t="str">
        <x:f>INDEX('300题规划'!$Y$2:$Y$301,MATCH(B26,'300题规划'!$A$2:$A$301,0))</x:f>
        <x:v>OpenSees</x:v>
      </x:c>
      <x:c r="Q26" s="5" t="str">
        <x:f>INDEX('300题规划'!$AB$2:$AB$301,MATCH(B26,'300题规划'!$A$2:$A$301,0))</x:f>
        <x:v>待逐题验证</x:v>
      </x:c>
    </x:row>
    <x:row r="27" ht="54" customHeight="1">
      <x:c r="A27" s="27" t="str">
        <x:v>M-STD-026</x:v>
      </x:c>
      <x:c r="B27" s="11" t="str">
        <x:v>STD-026</x:v>
      </x:c>
      <x:c r="C27" s="11" t="str">
        <x:v>四跨分组截面与分跨工况</x:v>
      </x:c>
      <x:c r="D27" s="11" t="str">
        <x:v>连续梁</x:v>
      </x:c>
      <x:c r="E27" s="11" t="str">
        <x:v>2D</x:v>
      </x:c>
      <x:c r="F27" s="11" t="str">
        <x:v>L3</x:v>
      </x:c>
      <x:c r="G27" s="11" t="str">
        <x:v>跨度4、6、5、4m，中间两跨B2其余B1，D全跨、L仅第二第四跨，题定组合；完整属性按公共契约随题给出。 D为全梁8kN/m；L在第二、四跨各10kN/m；C0=D、C1=1.2D+1.4L。 边界：左铰其余四支座竖向滚支。</x:v>
      </x:c>
      <x:c r="H27" s="11" t="str">
        <x:v>几何、截面组、工况映射同时存在</x:v>
      </x:c>
      <x:c r="I27" s="11" t="str">
        <x:v>无</x:v>
      </x:c>
      <x:c r="J27" s="11" t="str">
        <x:v>无</x:v>
      </x:c>
      <x:c r="K27" s="11" t="str">
        <x:v>四跨连续梁；不等跨；左铰其余四支座竖向滚支；D全跨；L仅第二及第四跨；两组合；中间两跨B2；其余跨B1</x:v>
      </x:c>
      <x:c r="L27" s="11" t="str">
        <x:v>多组合执行契约需验证；完整题面、参数/单位契约与真值待验证</x:v>
      </x:c>
      <x:c r="M27" s="11" t="str">
        <x:v>逐字段材料/截面数值及单位；完整支承自由度、荷载坐标与结果观测点；完整工况/组合系数表</x:v>
      </x:c>
      <x:c r="N27" s="11" t="str">
        <x:v>独立规划骨架；可执行模型/数值真值待生成</x:v>
      </x:c>
      <x:c r="O27" s="30" t="n">
        <x:f>COUNTIFS('300题规划'!$C$2:$C$301,A27)</x:f>
        <x:v>1</x:v>
      </x:c>
      <x:c r="P27" s="5" t="str">
        <x:f>INDEX('300题规划'!$Y$2:$Y$301,MATCH(B27,'300题规划'!$A$2:$A$301,0))</x:f>
        <x:v>OpenSees</x:v>
      </x:c>
      <x:c r="Q27" s="5" t="str">
        <x:f>INDEX('300题规划'!$AB$2:$AB$301,MATCH(B27,'300题规划'!$A$2:$A$301,0))</x:f>
        <x:v>待逐题验证</x:v>
      </x:c>
    </x:row>
    <x:row r="28" ht="54" customHeight="1">
      <x:c r="A28" s="28" t="str">
        <x:v>M-STD-027</x:v>
      </x:c>
      <x:c r="B28" s="6" t="str">
        <x:v>STD-027</x:v>
      </x:c>
      <x:c r="C28" s="6" t="str">
        <x:v>15m规则Pratt桁架</x:v>
      </x:c>
      <x:c r="D28" s="6" t="str">
        <x:v>桁架</x:v>
      </x:c>
      <x:c r="E28" s="6" t="str">
        <x:v>2D</x:v>
      </x:c>
      <x:c r="F28" s="6" t="str">
        <x:v>L1</x:v>
      </x:c>
      <x:c r="G28" s="6" t="str">
        <x:v>跨度15m、高2.5m、5节间，四个内部上弦节点各10kN，按旧题连接表；完整属性按公共契约随题给出。 按旧题节点及斜杆端点表建模；各杆只承轴力，不将屋架外观当作刚接梁。 边界：左下铰右下X向自由滚支。</x:v>
      </x:c>
      <x:c r="H28" s="6" t="str">
        <x:v>按给定连接而非名称补猜</x:v>
      </x:c>
      <x:c r="I28" s="6" t="str">
        <x:v>truss-pratt-static</x:v>
      </x:c>
      <x:c r="J28" s="6" t="str">
        <x:v>truss-pratt-15m-top10</x:v>
      </x:c>
      <x:c r="K28" s="6" t="str">
        <x:v>平行弦Pratt桁架；五节间；每格线竖杆与给定斜杆；左下铰右下X向自由滚支；四个内部上弦节点同值竖载；单材料单面积；全部轴力杆</x:v>
      </x:c>
      <x:c r="L28" s="6" t="str">
        <x:v>基础工具；完整题面、参数/单位契约与真值待验证</x:v>
      </x:c>
      <x:c r="M28" s="6" t="str">
        <x:v>逐字段材料/截面数值及单位；完整支承自由度、荷载坐标与结果观测点；逐杆连接表与稳定性复核</x:v>
      </x:c>
      <x:c r="N28" s="6" t="str">
        <x:v>独立规划骨架；可执行模型/数值真值待生成</x:v>
      </x:c>
      <x:c r="O28" s="30" t="n">
        <x:f>COUNTIFS('300题规划'!$C$2:$C$301,A28)</x:f>
        <x:v>1</x:v>
      </x:c>
      <x:c r="P28" s="5" t="str">
        <x:f>INDEX('300题规划'!$Y$2:$Y$301,MATCH(B28,'300题规划'!$A$2:$A$301,0))</x:f>
        <x:v>OpenSees</x:v>
      </x:c>
      <x:c r="Q28" s="5" t="str">
        <x:f>INDEX('300题规划'!$AB$2:$AB$301,MATCH(B28,'300题规划'!$A$2:$A$301,0))</x:f>
        <x:v>待逐题验证</x:v>
      </x:c>
    </x:row>
    <x:row r="29" ht="54" customHeight="1">
      <x:c r="A29" s="27" t="str">
        <x:v>M-STD-028</x:v>
      </x:c>
      <x:c r="B29" s="11" t="str">
        <x:v>STD-028</x:v>
      </x:c>
      <x:c r="C29" s="11" t="str">
        <x:v>梯形桁架下弦加载</x:v>
      </x:c>
      <x:c r="D29" s="11" t="str">
        <x:v>桁架</x:v>
      </x:c>
      <x:c r="E29" s="11" t="str">
        <x:v>2D</x:v>
      </x:c>
      <x:c r="F29" s="11" t="str">
        <x:v>L2</x:v>
      </x:c>
      <x:c r="G29" s="11" t="str">
        <x:v>跨度18m、6节间，端高1.6m、中高2.5m，五个内部下弦节点各15kN；完整属性按公共契约随题给出。 提供端高到脊高的分段坡线及全部腹杆连接，载荷只施加到内部下弦。 边界：左下铰右下X向自由滚支。</x:v>
      </x:c>
      <x:c r="H29" s="11" t="str">
        <x:v>变高度与下弦作用点</x:v>
      </x:c>
      <x:c r="I29" s="11" t="str">
        <x:v>truss-trapezoidal-static</x:v>
      </x:c>
      <x:c r="J29" s="11" t="str">
        <x:v>truss-complex-trap</x:v>
      </x:c>
      <x:c r="K29" s="11" t="str">
        <x:v>双坡梯形桁架；六节间；端部竖杆与完整腹杆；左下铰右下X向自由滚支；五个内部下弦节点同值竖载；单材料单面积；全部轴力杆</x:v>
      </x:c>
      <x:c r="L29" s="11" t="str">
        <x:v>基础工具；完整题面、参数/单位契约与真值待验证</x:v>
      </x:c>
      <x:c r="M29" s="11" t="str">
        <x:v>逐字段材料/截面数值及单位；完整支承自由度、荷载坐标与结果观测点；逐杆连接表与稳定性复核</x:v>
      </x:c>
      <x:c r="N29" s="11" t="str">
        <x:v>独立规划骨架；可执行模型/数值真值待生成</x:v>
      </x:c>
      <x:c r="O29" s="30" t="n">
        <x:f>COUNTIFS('300题规划'!$C$2:$C$301,A29)</x:f>
        <x:v>1</x:v>
      </x:c>
      <x:c r="P29" s="5" t="str">
        <x:f>INDEX('300题规划'!$Y$2:$Y$301,MATCH(B29,'300题规划'!$A$2:$A$301,0))</x:f>
        <x:v>OpenSees</x:v>
      </x:c>
      <x:c r="Q29" s="5" t="str">
        <x:f>INDEX('300题规划'!$AB$2:$AB$301,MATCH(B29,'300题规划'!$A$2:$A$301,0))</x:f>
        <x:v>待逐题验证</x:v>
      </x:c>
    </x:row>
    <x:row r="30" ht="52.5" customHeight="1">
      <x:c r="A30" s="28" t="str">
        <x:v>M-STD-029</x:v>
      </x:c>
      <x:c r="B30" s="6" t="str">
        <x:v>STD-029</x:v>
      </x:c>
      <x:c r="C30" s="6" t="str">
        <x:v>12m三角桁架水平连杆</x:v>
      </x:c>
      <x:c r="D30" s="6" t="str">
        <x:v>桁架</x:v>
      </x:c>
      <x:c r="E30" s="6" t="str">
        <x:v>2D</x:v>
      </x:c>
      <x:c r="F30" s="6" t="str">
        <x:v>L1</x:v>
      </x:c>
      <x:c r="G30" s="6" t="str">
        <x:v>跨度12m、高3m，旧题6节点10杆，三个上弦节点各20kN；完整属性按公共契约随题给出。 保留三个上弦节点到跨中下弦的连杆，以及两侧上弦节点间的水平杆。 边界：左下铰右下X向自由滚支。</x:v>
      </x:c>
      <x:c r="H30" s="6" t="str">
        <x:v>保留特殊水平连杆与连接节点</x:v>
      </x:c>
      <x:c r="I30" s="6" t="str">
        <x:v>truss-triangle-static</x:v>
      </x:c>
      <x:c r="J30" s="6" t="str">
        <x:v>truss-triangle-12m-3m-20k</x:v>
      </x:c>
      <x:c r="K30" s="6" t="str">
        <x:v>三角外形六节点十杆桁架；附上弦水平连杆；左下铰右下X向自由滚支；三个上弦节点同值竖载；单材料单面积；全部轴力杆</x:v>
      </x:c>
      <x:c r="L30" s="6" t="str">
        <x:v>基础工具；完整题面、参数/单位契约与真值待验证</x:v>
      </x:c>
      <x:c r="M30" s="6" t="str">
        <x:v>逐字段材料/截面数值及单位；完整支承自由度、荷载坐标与结果观测点；逐杆连接表与稳定性复核</x:v>
      </x:c>
      <x:c r="N30" s="6" t="str">
        <x:v>独立规划骨架；可执行模型/数值真值待生成</x:v>
      </x:c>
      <x:c r="O30" s="30" t="n">
        <x:f>COUNTIFS('300题规划'!$C$2:$C$301,A30)</x:f>
        <x:v>1</x:v>
      </x:c>
      <x:c r="P30" s="5" t="str">
        <x:f>INDEX('300题规划'!$Y$2:$Y$301,MATCH(B30,'300题规划'!$A$2:$A$301,0))</x:f>
        <x:v>OpenSees</x:v>
      </x:c>
      <x:c r="Q30" s="5" t="str">
        <x:f>INDEX('300题规划'!$AB$2:$AB$301,MATCH(B30,'300题规划'!$A$2:$A$301,0))</x:f>
        <x:v>待逐题验证</x:v>
      </x:c>
    </x:row>
    <x:row r="31" ht="54" customHeight="1">
      <x:c r="A31" s="27" t="str">
        <x:v>M-STD-030</x:v>
      </x:c>
      <x:c r="B31" s="11" t="str">
        <x:v>STD-030</x:v>
      </x:c>
      <x:c r="C31" s="11" t="str">
        <x:v>12mWarren类桁架</x:v>
      </x:c>
      <x:c r="D31" s="11" t="str">
        <x:v>桁架</x:v>
      </x:c>
      <x:c r="E31" s="11" t="str">
        <x:v>2D</x:v>
      </x:c>
      <x:c r="F31" s="11" t="str">
        <x:v>L2</x:v>
      </x:c>
      <x:c r="G31" s="11" t="str">
        <x:v>跨度12m、高2m、6节间，明确竖杆与交替斜杆，内部下弦节点各8kN；完整属性按公共契约随题给出。 六节间斜杆按B0-T1、T1-B2等明示序列布置，每个节间线有竖杆。 边界：左下铰右下X向自由滚支。</x:v>
      </x:c>
      <x:c r="H31" s="11" t="str">
        <x:v>下弦加载与斜杆方向</x:v>
      </x:c>
      <x:c r="I31" s="11" t="str">
        <x:v>truss-warren-en</x:v>
      </x:c>
      <x:c r="J31" s="11" t="str">
        <x:v>truss-warren-12m-2m-8k</x:v>
      </x:c>
      <x:c r="K31" s="11" t="str">
        <x:v>平行弦桁架；六节间；竖杆及交替斜杆；左下铰右下X向自由滚支；五个内部下弦节点同值竖载；单材料单面积；全部轴力杆</x:v>
      </x:c>
      <x:c r="L31" s="11" t="str">
        <x:v>基础工具；完整题面、参数/单位契约与真值待验证</x:v>
      </x:c>
      <x:c r="M31" s="11" t="str">
        <x:v>逐字段材料/截面数值及单位；完整支承自由度、荷载坐标与结果观测点；逐杆连接表与稳定性复核</x:v>
      </x:c>
      <x:c r="N31" s="11" t="str">
        <x:v>独立规划骨架；可执行模型/数值真值待生成</x:v>
      </x:c>
      <x:c r="O31" s="30" t="n">
        <x:f>COUNTIFS('300题规划'!$C$2:$C$301,A31)</x:f>
        <x:v>1</x:v>
      </x:c>
      <x:c r="P31" s="5" t="str">
        <x:f>INDEX('300题规划'!$Y$2:$Y$301,MATCH(B31,'300题规划'!$A$2:$A$301,0))</x:f>
        <x:v>OpenSees</x:v>
      </x:c>
      <x:c r="Q31" s="5" t="str">
        <x:f>INDEX('300题规划'!$AB$2:$AB$301,MATCH(B31,'300题规划'!$A$2:$A$301,0))</x:f>
        <x:v>待逐题验证</x:v>
      </x:c>
    </x:row>
    <x:row r="32" ht="52.5" customHeight="1">
      <x:c r="A32" s="28" t="str">
        <x:v>M-STD-031</x:v>
      </x:c>
      <x:c r="B32" s="6" t="str">
        <x:v>STD-031</x:v>
      </x:c>
      <x:c r="C32" s="6" t="str">
        <x:v>18m平行弦屋架</x:v>
      </x:c>
      <x:c r="D32" s="6" t="str">
        <x:v>桁架</x:v>
      </x:c>
      <x:c r="E32" s="6" t="str">
        <x:v>2D</x:v>
      </x:c>
      <x:c r="F32" s="6" t="str">
        <x:v>L2</x:v>
      </x:c>
      <x:c r="G32" s="6" t="str">
        <x:v>跨度18m、高3m、6节间，交替腹杆，上弦内部节点各12kN；完整属性按公共契约随题给出。 六节间上弦内节点各12kN，交替腹杆和端部竖杆都在连接表中。 边界：左下铰右下X向自由滚支。</x:v>
      </x:c>
      <x:c r="H32" s="6" t="str">
        <x:v>上弦荷载及竖杆完整性</x:v>
      </x:c>
      <x:c r="I32" s="6" t="str">
        <x:v>truss-roof-en</x:v>
      </x:c>
      <x:c r="J32" s="6" t="str">
        <x:v>truss-roof-18m-3m-12k</x:v>
      </x:c>
      <x:c r="K32" s="6" t="str">
        <x:v>平行弦屋架；六节间；端竖杆及交替斜杆；左下铰右下X向自由滚支；五个内部上弦节点同值竖载；单材料单面积；全部轴力杆</x:v>
      </x:c>
      <x:c r="L32" s="6" t="str">
        <x:v>基础工具；完整题面、参数/单位契约与真值待验证</x:v>
      </x:c>
      <x:c r="M32" s="6" t="str">
        <x:v>逐字段材料/截面数值及单位；完整支承自由度、荷载坐标与结果观测点；逐杆连接表与稳定性复核</x:v>
      </x:c>
      <x:c r="N32" s="6" t="str">
        <x:v>独立规划骨架；可执行模型/数值真值待生成</x:v>
      </x:c>
      <x:c r="O32" s="30" t="n">
        <x:f>COUNTIFS('300题规划'!$C$2:$C$301,A32)</x:f>
        <x:v>1</x:v>
      </x:c>
      <x:c r="P32" s="5" t="str">
        <x:f>INDEX('300题规划'!$Y$2:$Y$301,MATCH(B32,'300题规划'!$A$2:$A$301,0))</x:f>
        <x:v>OpenSees</x:v>
      </x:c>
      <x:c r="Q32" s="5" t="str">
        <x:f>INDEX('300题规划'!$AB$2:$AB$301,MATCH(B32,'300题规划'!$A$2:$A$301,0))</x:f>
        <x:v>待逐题验证</x:v>
      </x:c>
    </x:row>
    <x:row r="33" ht="54" customHeight="1">
      <x:c r="A33" s="27" t="str">
        <x:v>M-STD-032</x:v>
      </x:c>
      <x:c r="B33" s="11" t="str">
        <x:v>STD-032</x:v>
      </x:c>
      <x:c r="C33" s="11" t="str">
        <x:v>15m非整数顶点三角屋架</x:v>
      </x:c>
      <x:c r="D33" s="11" t="str">
        <x:v>桁架</x:v>
      </x:c>
      <x:c r="E33" s="11" t="str">
        <x:v>2D</x:v>
      </x:c>
      <x:c r="F33" s="11" t="str">
        <x:v>L2</x:v>
      </x:c>
      <x:c r="G33" s="11" t="str">
        <x:v>跨度15m、顶点x=7.5m高2.5m，按旧题连接，五个上弦节点各10kN；完整属性按公共契约随题给出。 屋脊x=7.5m独立于3m下弦分格；上弦坐标和所有腹杆端点单独列出。 边界：左下铰右下X向自由滚支。</x:v>
      </x:c>
      <x:c r="H33" s="11" t="str">
        <x:v>顶点不在整节间及腹杆连接</x:v>
      </x:c>
      <x:c r="I33" s="11" t="str">
        <x:v>std-truss-tri-en</x:v>
      </x:c>
      <x:c r="J33" s="11" t="str">
        <x:v>truss-triangle-15m-2p5-10k</x:v>
      </x:c>
      <x:c r="K33" s="11" t="str">
        <x:v>三角屋架；五下弦节间；顶点独立于下弦分格；左下铰右下X向自由滚支；五个上弦节点同值竖载；单材料单面积；全部轴力杆</x:v>
      </x:c>
      <x:c r="L33" s="11" t="str">
        <x:v>基础工具；完整题面、参数/单位契约与真值待验证</x:v>
      </x:c>
      <x:c r="M33" s="11" t="str">
        <x:v>逐字段材料/截面数值及单位；完整支承自由度、荷载坐标与结果观测点；逐杆连接表与稳定性复核</x:v>
      </x:c>
      <x:c r="N33" s="11" t="str">
        <x:v>独立规划骨架；可执行模型/数值真值待生成</x:v>
      </x:c>
      <x:c r="O33" s="30" t="n">
        <x:f>COUNTIFS('300题规划'!$C$2:$C$301,A33)</x:f>
        <x:v>1</x:v>
      </x:c>
      <x:c r="P33" s="5" t="str">
        <x:f>INDEX('300题规划'!$Y$2:$Y$301,MATCH(B33,'300题规划'!$A$2:$A$301,0))</x:f>
        <x:v>OpenSees</x:v>
      </x:c>
      <x:c r="Q33" s="5" t="str">
        <x:f>INDEX('300题规划'!$AB$2:$AB$301,MATCH(B33,'300题规划'!$A$2:$A$301,0))</x:f>
        <x:v>待逐题验证</x:v>
      </x:c>
    </x:row>
    <x:row r="34" ht="54" customHeight="1">
      <x:c r="A34" s="28" t="str">
        <x:v>M-STD-033</x:v>
      </x:c>
      <x:c r="B34" s="6" t="str">
        <x:v>STD-033</x:v>
      </x:c>
      <x:c r="C34" s="6" t="str">
        <x:v>平行弦三角腹杆桁架</x:v>
      </x:c>
      <x:c r="D34" s="6" t="str">
        <x:v>桁架</x:v>
      </x:c>
      <x:c r="E34" s="6" t="str">
        <x:v>2D</x:v>
      </x:c>
      <x:c r="F34" s="6" t="str">
        <x:v>L2</x:v>
      </x:c>
      <x:c r="G34" s="6" t="str">
        <x:v>跨度15m、高2.5m、5节间，12节点21杆，内部下弦节点各10kN；完整属性按公共契约随题给出。 将旧DXF内容转成节点/杆件文字表，保留12节点21杆和平行弦外形。 边界：左下铰右下X向自由滚支。</x:v>
      </x:c>
      <x:c r="H34" s="6" t="str">
        <x:v>三角腹杆不等于三角外轮廓</x:v>
      </x:c>
      <x:c r="I34" s="6" t="str">
        <x:v>re-dxf-truss-simple-tri</x:v>
      </x:c>
      <x:c r="J34" s="6" t="str">
        <x:v>truss-simple-tri</x:v>
      </x:c>
      <x:c r="K34" s="6" t="str">
        <x:v>平行弦三角腹杆桁架；五节间；十二节点二十一杆；左下铰右下X向自由滚支；四个内部下弦节点同值竖载；单材料单面积；全部轴力杆</x:v>
      </x:c>
      <x:c r="L34" s="6" t="str">
        <x:v>基础工具；完整题面、参数/单位契约与真值待验证</x:v>
      </x:c>
      <x:c r="M34" s="6" t="str">
        <x:v>逐字段材料/截面数值及单位；完整支承自由度、荷载坐标与结果观测点；逐杆连接表与稳定性复核</x:v>
      </x:c>
      <x:c r="N34" s="6" t="str">
        <x:v>独立规划骨架；可执行模型/数值真值待生成</x:v>
      </x:c>
      <x:c r="O34" s="30" t="n">
        <x:f>COUNTIFS('300题规划'!$C$2:$C$301,A34)</x:f>
        <x:v>1</x:v>
      </x:c>
      <x:c r="P34" s="5" t="str">
        <x:f>INDEX('300题规划'!$Y$2:$Y$301,MATCH(B34,'300题规划'!$A$2:$A$301,0))</x:f>
        <x:v>OpenSees</x:v>
      </x:c>
      <x:c r="Q34" s="5" t="str">
        <x:f>INDEX('300题规划'!$AB$2:$AB$301,MATCH(B34,'300题规划'!$A$2:$A$301,0))</x:f>
        <x:v>待逐题验证</x:v>
      </x:c>
    </x:row>
    <x:row r="35" ht="54" customHeight="1">
      <x:c r="A35" s="27" t="str">
        <x:v>M-STD-034</x:v>
      </x:c>
      <x:c r="B35" s="11" t="str">
        <x:v>STD-034</x:v>
      </x:c>
      <x:c r="C35" s="11" t="str">
        <x:v>反向腹杆的Howe类桁架</x:v>
      </x:c>
      <x:c r="D35" s="11" t="str">
        <x:v>桁架</x:v>
      </x:c>
      <x:c r="E35" s="11" t="str">
        <x:v>2D</x:v>
      </x:c>
      <x:c r="F35" s="11" t="str">
        <x:v>L2</x:v>
      </x:c>
      <x:c r="G35" s="11" t="str">
        <x:v>跨度16m、高2.4m、4节间，连接表指定与Pratt相反的斜杆，三个内部上弦节点各12kN，两端上弦不加载；完整属性按公共契约随题给出。 4个节间斜杆按反向端点表给定，两端竖杆保留；不依赖Howe名称推断。 边界：左下铰右下X向自由滚支。</x:v>
      </x:c>
      <x:c r="H35" s="11" t="str">
        <x:v>名称相似而斜杆端点不同</x:v>
      </x:c>
      <x:c r="I35" s="11" t="str">
        <x:v>无</x:v>
      </x:c>
      <x:c r="J35" s="11" t="str">
        <x:v>无</x:v>
      </x:c>
      <x:c r="K35" s="11" t="str">
        <x:v>平行弦Howe类桁架；四节间；反向斜杆；左下铰右下X向自由滚支；三个内部上弦节点同值竖载；单材料单面积；全部轴力杆</x:v>
      </x:c>
      <x:c r="L35" s="11" t="str">
        <x:v>基础工具；完整题面、参数/单位契约与真值待验证</x:v>
      </x:c>
      <x:c r="M35" s="11" t="str">
        <x:v>逐字段材料/截面数值及单位；完整支承自由度、荷载坐标与结果观测点；逐杆连接表与稳定性复核</x:v>
      </x:c>
      <x:c r="N35" s="11" t="str">
        <x:v>独立规划骨架；可执行模型/数值真值待生成</x:v>
      </x:c>
      <x:c r="O35" s="30" t="n">
        <x:f>COUNTIFS('300题规划'!$C$2:$C$301,A35)</x:f>
        <x:v>1</x:v>
      </x:c>
      <x:c r="P35" s="5" t="str">
        <x:f>INDEX('300题规划'!$Y$2:$Y$301,MATCH(B35,'300题规划'!$A$2:$A$301,0))</x:f>
        <x:v>OpenSees</x:v>
      </x:c>
      <x:c r="Q35" s="5" t="str">
        <x:f>INDEX('300题规划'!$AB$2:$AB$301,MATCH(B35,'300题规划'!$A$2:$A$301,0))</x:f>
        <x:v>待逐题验证</x:v>
      </x:c>
    </x:row>
    <x:row r="36" ht="54" customHeight="1">
      <x:c r="A36" s="28" t="str">
        <x:v>M-STD-035</x:v>
      </x:c>
      <x:c r="B36" s="6" t="str">
        <x:v>STD-035</x:v>
      </x:c>
      <x:c r="C36" s="6" t="str">
        <x:v>K形腹杆桁架局部加载</x:v>
      </x:c>
      <x:c r="D36" s="6" t="str">
        <x:v>桁架</x:v>
      </x:c>
      <x:c r="E36" s="6" t="str">
        <x:v>2D</x:v>
      </x:c>
      <x:c r="F36" s="6" t="str">
        <x:v>L3</x:v>
      </x:c>
      <x:c r="G36" s="6" t="str">
        <x:v>跨度18m、高3m、6节间，竖杆中点与K腹杆明确连接，仅x=3m与6m上弦节点加载；完整属性按公共契约随题给出。 逐一给竖杆中点坐标与K形杆端点；仅x=3m与6m两个上弦节点各向下12kN。 边界：左下铰右下X向自由滚支。</x:v>
      </x:c>
      <x:c r="H36" s="6" t="str">
        <x:v>中间连接节点与局部荷载范围</x:v>
      </x:c>
      <x:c r="I36" s="6" t="str">
        <x:v>无</x:v>
      </x:c>
      <x:c r="J36" s="6" t="str">
        <x:v>无</x:v>
      </x:c>
      <x:c r="K36" s="6" t="str">
        <x:v>平行弦K腹杆桁架；六节间；竖杆中点真实连接；左下铰右下X向自由滚支；仅x=3m与6m两个上弦节点各向下12kN；单材料单面积；全部轴力杆</x:v>
      </x:c>
      <x:c r="L36" s="6" t="str">
        <x:v>机构与连通性需独立验证；完整题面、参数/单位契约与真值待验证</x:v>
      </x:c>
      <x:c r="M36" s="6" t="str">
        <x:v>逐字段材料/截面数值及单位；完整支承自由度、荷载坐标与结果观测点；逐杆连接表与稳定性复核</x:v>
      </x:c>
      <x:c r="N36" s="6" t="str">
        <x:v>独立规划骨架；可执行模型/数值真值待生成</x:v>
      </x:c>
      <x:c r="O36" s="30" t="n">
        <x:f>COUNTIFS('300题规划'!$C$2:$C$301,A36)</x:f>
        <x:v>1</x:v>
      </x:c>
      <x:c r="P36" s="5" t="str">
        <x:f>INDEX('300题规划'!$Y$2:$Y$301,MATCH(B36,'300题规划'!$A$2:$A$301,0))</x:f>
        <x:v>OpenSees</x:v>
      </x:c>
      <x:c r="Q36" s="5" t="str">
        <x:f>INDEX('300题规划'!$AB$2:$AB$301,MATCH(B36,'300题规划'!$A$2:$A$301,0))</x:f>
        <x:v>待逐题验证</x:v>
      </x:c>
    </x:row>
    <x:row r="37" ht="54" customHeight="1">
      <x:c r="A37" s="27" t="str">
        <x:v>M-STD-036</x:v>
      </x:c>
      <x:c r="B37" s="11" t="str">
        <x:v>STD-036</x:v>
      </x:c>
      <x:c r="C37" s="11" t="str">
        <x:v>双斜杆交叉但不设节点</x:v>
      </x:c>
      <x:c r="D37" s="11" t="str">
        <x:v>桁架</x:v>
      </x:c>
      <x:c r="E37" s="11" t="str">
        <x:v>2D</x:v>
      </x:c>
      <x:c r="F37" s="11" t="str">
        <x:v>L3</x:v>
      </x:c>
      <x:c r="G37" s="11" t="str">
        <x:v>跨度12m、高2.5m、4节间，各格X腹杆交叉处明确不连接，三个内部上弦节点各10kN；完整属性按公共契约随题给出。 各格X形腹杆交叉处明确没有节点；每个内部顶点向下10kN，保留轴力杆属性。 边界：左下铰右下X向自由滚支。</x:v>
      </x:c>
      <x:c r="H37" s="11" t="str">
        <x:v>交叉线不自动成结构节点</x:v>
      </x:c>
      <x:c r="I37" s="11" t="str">
        <x:v>无</x:v>
      </x:c>
      <x:c r="J37" s="11" t="str">
        <x:v>无</x:v>
      </x:c>
      <x:c r="K37" s="11" t="str">
        <x:v>平行弦X腹杆桁架；四节间；交叉处不连接；左下铰右下X向自由滚支；内部上弦节点同值竖载；单材料单面积；全部轴力杆</x:v>
      </x:c>
      <x:c r="L37" s="11" t="str">
        <x:v>基础工具；完整题面、参数/单位契约与真值待验证</x:v>
      </x:c>
      <x:c r="M37" s="11" t="str">
        <x:v>逐字段材料/截面数值及单位；完整支承自由度、荷载坐标与结果观测点；逐杆连接表与稳定性复核</x:v>
      </x:c>
      <x:c r="N37" s="11" t="str">
        <x:v>独立规划骨架；可执行模型/数值真值待生成</x:v>
      </x:c>
      <x:c r="O37" s="30" t="n">
        <x:f>COUNTIFS('300题规划'!$C$2:$C$301,A37)</x:f>
        <x:v>1</x:v>
      </x:c>
      <x:c r="P37" s="5" t="str">
        <x:f>INDEX('300题规划'!$Y$2:$Y$301,MATCH(B37,'300题规划'!$A$2:$A$301,0))</x:f>
        <x:v>OpenSees</x:v>
      </x:c>
      <x:c r="Q37" s="5" t="str">
        <x:f>INDEX('300题规划'!$AB$2:$AB$301,MATCH(B37,'300题规划'!$A$2:$A$301,0))</x:f>
        <x:v>待逐题验证</x:v>
      </x:c>
    </x:row>
    <x:row r="38" ht="54" customHeight="1">
      <x:c r="A38" s="28" t="str">
        <x:v>M-STD-037</x:v>
      </x:c>
      <x:c r="B38" s="6" t="str">
        <x:v>STD-037</x:v>
      </x:c>
      <x:c r="C38" s="6" t="str">
        <x:v>不等节间平行弦桁架</x:v>
      </x:c>
      <x:c r="D38" s="6" t="str">
        <x:v>桁架</x:v>
      </x:c>
      <x:c r="E38" s="6" t="str">
        <x:v>2D</x:v>
      </x:c>
      <x:c r="F38" s="6" t="str">
        <x:v>L2</x:v>
      </x:c>
      <x:c r="G38" s="6" t="str">
        <x:v>节间2、3、4、3m，高2.2m，显式节点表，上弦不等节点荷载；完整属性按公共契约随题给出。 下弦x=0/2/5/9/12m；内部上弦在x=2/5/9m分别向下10/18/12kN。 边界：左下铰右下X向自由滚支。</x:v>
      </x:c>
      <x:c r="H38" s="6" t="str">
        <x:v>不等节间坐标累加和载荷对应</x:v>
      </x:c>
      <x:c r="I38" s="6" t="str">
        <x:v>无</x:v>
      </x:c>
      <x:c r="J38" s="6" t="str">
        <x:v>无</x:v>
      </x:c>
      <x:c r="K38" s="6" t="str">
        <x:v>平行弦桁架；四个不等节间；给定连接表；左下铰右下X向自由滚支；三个内部上弦节点不等竖载；单材料单面积；全部轴力杆</x:v>
      </x:c>
      <x:c r="L38" s="6" t="str">
        <x:v>基础工具；完整题面、参数/单位契约与真值待验证</x:v>
      </x:c>
      <x:c r="M38" s="6" t="str">
        <x:v>逐字段材料/截面数值及单位；完整支承自由度、荷载坐标与结果观测点；逐杆连接表与稳定性复核</x:v>
      </x:c>
      <x:c r="N38" s="6" t="str">
        <x:v>独立规划骨架；可执行模型/数值真值待生成</x:v>
      </x:c>
      <x:c r="O38" s="30" t="n">
        <x:f>COUNTIFS('300题规划'!$C$2:$C$301,A38)</x:f>
        <x:v>1</x:v>
      </x:c>
      <x:c r="P38" s="5" t="str">
        <x:f>INDEX('300题规划'!$Y$2:$Y$301,MATCH(B38,'300题规划'!$A$2:$A$301,0))</x:f>
        <x:v>OpenSees</x:v>
      </x:c>
      <x:c r="Q38" s="5" t="str">
        <x:f>INDEX('300题规划'!$AB$2:$AB$301,MATCH(B38,'300题规划'!$A$2:$A$301,0))</x:f>
        <x:v>待逐题验证</x:v>
      </x:c>
    </x:row>
    <x:row r="39" ht="54" customHeight="1">
      <x:c r="A39" s="27" t="str">
        <x:v>M-STD-038</x:v>
      </x:c>
      <x:c r="B39" s="11" t="str">
        <x:v>STD-038</x:v>
      </x:c>
      <x:c r="C39" s="11" t="str">
        <x:v>单坡上弦与非对称腹杆</x:v>
      </x:c>
      <x:c r="D39" s="11" t="str">
        <x:v>桁架</x:v>
      </x:c>
      <x:c r="E39" s="11" t="str">
        <x:v>2D</x:v>
      </x:c>
      <x:c r="F39" s="11" t="str">
        <x:v>L3</x:v>
      </x:c>
      <x:c r="G39" s="11" t="str">
        <x:v>跨度15m，下弦水平，上弦高度从1.5增到3m，完整连接表和三处偏载；完整属性按公共契约随题给出。 五节间上弦由端高1.5m线性升至3m；x=3/9/12m顶点分别向下12/18/10kN。 边界：左下铰右下X向自由滚支。</x:v>
      </x:c>
      <x:c r="H39" s="11" t="str">
        <x:v>非对称几何和非模板拓扑</x:v>
      </x:c>
      <x:c r="I39" s="11" t="str">
        <x:v>无</x:v>
      </x:c>
      <x:c r="J39" s="11" t="str">
        <x:v>无</x:v>
      </x:c>
      <x:c r="K39" s="11" t="str">
        <x:v>单坡上弦桁架；五节间；非对称腹杆；左下铰右下X向自由滚支；三处上弦偏置不等节点竖载；单材料单面积；全部轴力杆</x:v>
      </x:c>
      <x:c r="L39" s="11" t="str">
        <x:v>机构与连通性需独立验证；完整题面、参数/单位契约与真值待验证</x:v>
      </x:c>
      <x:c r="M39" s="11" t="str">
        <x:v>逐字段材料/截面数值及单位；完整支承自由度、荷载坐标与结果观测点；逐杆连接表与稳定性复核</x:v>
      </x:c>
      <x:c r="N39" s="11" t="str">
        <x:v>独立规划骨架；可执行模型/数值真值待生成</x:v>
      </x:c>
      <x:c r="O39" s="30" t="n">
        <x:f>COUNTIFS('300题规划'!$C$2:$C$301,A39)</x:f>
        <x:v>1</x:v>
      </x:c>
      <x:c r="P39" s="5" t="str">
        <x:f>INDEX('300题规划'!$Y$2:$Y$301,MATCH(B39,'300题规划'!$A$2:$A$301,0))</x:f>
        <x:v>OpenSees</x:v>
      </x:c>
      <x:c r="Q39" s="5" t="str">
        <x:f>INDEX('300题规划'!$AB$2:$AB$301,MATCH(B39,'300题规划'!$A$2:$A$301,0))</x:f>
        <x:v>待逐题验证</x:v>
      </x:c>
    </x:row>
    <x:row r="40" ht="54" customHeight="1">
      <x:c r="A40" s="28" t="str">
        <x:v>M-STD-039</x:v>
      </x:c>
      <x:c r="B40" s="6" t="str">
        <x:v>STD-039</x:v>
      </x:c>
      <x:c r="C40" s="6" t="str">
        <x:v>弦杆与腹杆分组截面</x:v>
      </x:c>
      <x:c r="D40" s="6" t="str">
        <x:v>桁架</x:v>
      </x:c>
      <x:c r="E40" s="6" t="str">
        <x:v>2D</x:v>
      </x:c>
      <x:c r="F40" s="6" t="str">
        <x:v>L3</x:v>
      </x:c>
      <x:c r="G40" s="6" t="str">
        <x:v>跨度20m、高3m、5节间，上下弦和腹杆分别给A1/A2/A3，分节点加载；完整属性按公共契约随题给出。 上弦A1、下弦A2、腹杆A3逐项给值；四个内部上弦节点按8/12/16/10kN加载。 边界：左下铰右下X向自由滚支。</x:v>
      </x:c>
      <x:c r="H40" s="6" t="str">
        <x:v>构件组属性与拓扑荷载联合映射</x:v>
      </x:c>
      <x:c r="I40" s="6" t="str">
        <x:v>无</x:v>
      </x:c>
      <x:c r="J40" s="6" t="str">
        <x:v>无</x:v>
      </x:c>
      <x:c r="K40" s="6" t="str">
        <x:v>平行弦桁架；五节间；完整节点杆表；左下铰右下X向自由滚支；四个内部上弦节点不等竖载；上弦A1下弦A2腹杆A3</x:v>
      </x:c>
      <x:c r="L40" s="6" t="str">
        <x:v>基础工具；完整题面、参数/单位契约与真值待验证</x:v>
      </x:c>
      <x:c r="M40" s="6" t="str">
        <x:v>逐字段材料/截面数值及单位；完整支承自由度、荷载坐标与结果观测点；逐杆连接表与稳定性复核</x:v>
      </x:c>
      <x:c r="N40" s="6" t="str">
        <x:v>独立规划骨架；可执行模型/数值真值待生成</x:v>
      </x:c>
      <x:c r="O40" s="30" t="n">
        <x:f>COUNTIFS('300题规划'!$C$2:$C$301,A40)</x:f>
        <x:v>1</x:v>
      </x:c>
      <x:c r="P40" s="5" t="str">
        <x:f>INDEX('300题规划'!$Y$2:$Y$301,MATCH(B40,'300题规划'!$A$2:$A$301,0))</x:f>
        <x:v>OpenSees</x:v>
      </x:c>
      <x:c r="Q40" s="5" t="str">
        <x:f>INDEX('300题规划'!$AB$2:$AB$301,MATCH(B40,'300题规划'!$A$2:$A$301,0))</x:f>
        <x:v>待逐题验证</x:v>
      </x:c>
    </x:row>
    <x:row r="41" ht="54" customHeight="1">
      <x:c r="A41" s="27" t="str">
        <x:v>M-STD-040</x:v>
      </x:c>
      <x:c r="B41" s="11" t="str">
        <x:v>STD-040</x:v>
      </x:c>
      <x:c r="C41" s="11" t="str">
        <x:v>四面体空间桁架</x:v>
      </x:c>
      <x:c r="D41" s="11" t="str">
        <x:v>桁架</x:v>
      </x:c>
      <x:c r="E41" s="11" t="str">
        <x:v>3D</x:v>
      </x:c>
      <x:c r="F41" s="11" t="str">
        <x:v>L2</x:v>
      </x:c>
      <x:c r="G41" s="11" t="str">
        <x:v>四面体空间桁架四节点六杆；底面A=(0,0,0)、B=(4,0,0)、C=(2,2√3,0)m，顶点D=(2,2√3/3,3)m。A约束XYZ平移，B约束YZ平移，C仅约束Z平移；D向下30kN，其余方向自由。材料EA按公共契约。 边界：A约束XYZ平移；B约束YZ平移；C约束Z平移；其余平移自由。</x:v>
      </x:c>
      <x:c r="H41" s="11" t="str">
        <x:v>空间杆连接与消除刚体运动约束</x:v>
      </x:c>
      <x:c r="I41" s="11" t="str">
        <x:v>无</x:v>
      </x:c>
      <x:c r="J41" s="11" t="str">
        <x:v>无</x:v>
      </x:c>
      <x:c r="K41" s="11" t="str">
        <x:v>四面体空间桁架；正三角形底面；顶点投影为形心；四节点六杆；A约束XYZ平移；B约束YZ平移；C约束Z平移；其余平移自由；顶点竖向集中力；单材料单面积；三维轴力杆</x:v>
      </x:c>
      <x:c r="L41" s="11" t="str">
        <x:v>空间桁架及独立真值需验证；完整题面、参数/单位契约与真值待验证</x:v>
      </x:c>
      <x:c r="M41" s="11" t="str">
        <x:v>逐字段材料/截面数值及单位；完整支承自由度、荷载坐标与结果观测点；逐杆连接表与稳定性复核；局部轴和三向荷载约定</x:v>
      </x:c>
      <x:c r="N41" s="11" t="str">
        <x:v>独立规划骨架；可执行模型/数值真值待生成</x:v>
      </x:c>
      <x:c r="O41" s="30" t="n">
        <x:f>COUNTIFS('300题规划'!$C$2:$C$301,A41)</x:f>
        <x:v>1</x:v>
      </x:c>
      <x:c r="P41" s="5" t="str">
        <x:f>INDEX('300题规划'!$Y$2:$Y$301,MATCH(B41,'300题规划'!$A$2:$A$301,0))</x:f>
        <x:v>OpenSees</x:v>
      </x:c>
      <x:c r="Q41" s="5" t="str">
        <x:f>INDEX('300题规划'!$AB$2:$AB$301,MATCH(B41,'300题规划'!$A$2:$A$301,0))</x:f>
        <x:v>待逐题验证</x:v>
      </x:c>
    </x:row>
    <x:row r="42" ht="54" customHeight="1">
      <x:c r="A42" s="28" t="str">
        <x:v>M-STD-041</x:v>
      </x:c>
      <x:c r="B42" s="6" t="str">
        <x:v>STD-041</x:v>
      </x:c>
      <x:c r="C42" s="6" t="str">
        <x:v>方锥屋盖空间杆系</x:v>
      </x:c>
      <x:c r="D42" s="6" t="str">
        <x:v>桁架</x:v>
      </x:c>
      <x:c r="E42" s="6" t="str">
        <x:v>3D</x:v>
      </x:c>
      <x:c r="F42" s="6" t="str">
        <x:v>L3</x:v>
      </x:c>
      <x:c r="G42" s="6" t="str">
        <x:v>底面6m×6m，顶点偏离中心，高3m，底边杆加四斜杆，四底节点固定，顶点双向荷载；完整属性按公共契约随题给出。 顶点坐标(2,3,3)m，底角(0/6,0/6,0)m固定；顶点受X向15kN和Z向-40kN。 边界：四底节点平移固定。</x:v>
      </x:c>
      <x:c r="H42" s="6" t="str">
        <x:v>偏心空间几何和三向力分量</x:v>
      </x:c>
      <x:c r="I42" s="6" t="str">
        <x:v>无</x:v>
      </x:c>
      <x:c r="J42" s="6" t="str">
        <x:v>无</x:v>
      </x:c>
      <x:c r="K42" s="6" t="str">
        <x:v>偏心方锥空间杆系；四条底边与四条斜杆；四底节点平移固定；偏心顶点X向与Z向双分量力；单材料单面积；三维轴力杆</x:v>
      </x:c>
      <x:c r="L42" s="6" t="str">
        <x:v>空间桁架及独立真值需验证；完整题面、参数/单位契约与真值待验证</x:v>
      </x:c>
      <x:c r="M42" s="6" t="str">
        <x:v>逐字段材料/截面数值及单位；完整支承自由度、荷载坐标与结果观测点；逐杆连接表与稳定性复核；局部轴和三向荷载约定</x:v>
      </x:c>
      <x:c r="N42" s="6" t="str">
        <x:v>独立规划骨架；可执行模型/数值真值待生成</x:v>
      </x:c>
      <x:c r="O42" s="30" t="n">
        <x:f>COUNTIFS('300题规划'!$C$2:$C$301,A42)</x:f>
        <x:v>1</x:v>
      </x:c>
      <x:c r="P42" s="5" t="str">
        <x:f>INDEX('300题规划'!$Y$2:$Y$301,MATCH(B42,'300题规划'!$A$2:$A$301,0))</x:f>
        <x:v>OpenSees</x:v>
      </x:c>
      <x:c r="Q42" s="5" t="str">
        <x:f>INDEX('300题规划'!$AB$2:$AB$301,MATCH(B42,'300题规划'!$A$2:$A$301,0))</x:f>
        <x:v>待逐题验证</x:v>
      </x:c>
    </x:row>
    <x:row r="43" ht="54" customHeight="1">
      <x:c r="A43" s="27" t="str">
        <x:v>M-STD-042</x:v>
      </x:c>
      <x:c r="B43" s="11" t="str">
        <x:v>STD-042</x:v>
      </x:c>
      <x:c r="C43" s="11" t="str">
        <x:v>两层三角柱式空间桁架</x:v>
      </x:c>
      <x:c r="D43" s="11" t="str">
        <x:v>桁架</x:v>
      </x:c>
      <x:c r="E43" s="11" t="str">
        <x:v>3D</x:v>
      </x:c>
      <x:c r="F43" s="11" t="str">
        <x:v>L3</x:v>
      </x:c>
      <x:c r="G43" s="11" t="str">
        <x:v>底面三角形边长4m，两层各3m，弦杆横杆斜杆按表连接，底节点固定，顶层侧力；完整属性按公共契约随题给出。 两层三角柱所有节点和斜杆端点列表完整；顶层三个节点各X向10kN，底节点固定。 边界：三个底节点平移固定。</x:v>
      </x:c>
      <x:c r="H43" s="11" t="str">
        <x:v>跨层空间连接与杆件组</x:v>
      </x:c>
      <x:c r="I43" s="11" t="str">
        <x:v>无</x:v>
      </x:c>
      <x:c r="J43" s="11" t="str">
        <x:v>无</x:v>
      </x:c>
      <x:c r="K43" s="11" t="str">
        <x:v>两层三角柱空间桁架；弦杆横杆斜杆按表；三个底节点平移固定；三个顶层节点同向侧力；明确空间杆组；三维轴力杆</x:v>
      </x:c>
      <x:c r="L43" s="11" t="str">
        <x:v>空间桁架及独立真值需验证；完整题面、参数/单位契约与真值待验证</x:v>
      </x:c>
      <x:c r="M43" s="11" t="str">
        <x:v>逐字段材料/截面数值及单位；完整支承自由度、荷载坐标与结果观测点；逐杆连接表与稳定性复核；局部轴和三向荷载约定</x:v>
      </x:c>
      <x:c r="N43" s="11" t="str">
        <x:v>独立规划骨架；可执行模型/数值真值待生成</x:v>
      </x:c>
      <x:c r="O43" s="30" t="n">
        <x:f>COUNTIFS('300题规划'!$C$2:$C$301,A43)</x:f>
        <x:v>1</x:v>
      </x:c>
      <x:c r="P43" s="5" t="str">
        <x:f>INDEX('300题规划'!$Y$2:$Y$301,MATCH(B43,'300题规划'!$A$2:$A$301,0))</x:f>
        <x:v>OpenSees</x:v>
      </x:c>
      <x:c r="Q43" s="5" t="str">
        <x:f>INDEX('300题规划'!$AB$2:$AB$301,MATCH(B43,'300题规划'!$A$2:$A$301,0))</x:f>
        <x:v>待逐题验证</x:v>
      </x:c>
    </x:row>
    <x:row r="44" ht="52.5" customHeight="1">
      <x:c r="A44" s="28" t="str">
        <x:v>M-STD-043</x:v>
      </x:c>
      <x:c r="B44" s="6" t="str">
        <x:v>STD-043</x:v>
      </x:c>
      <x:c r="C44" s="6" t="str">
        <x:v>18m平屋面门架</x:v>
      </x:c>
      <x:c r="D44" s="6" t="str">
        <x:v>门式刚架</x:v>
      </x:c>
      <x:c r="E44" s="6" t="str">
        <x:v>2D</x:v>
      </x:c>
      <x:c r="F44" s="6" t="str">
        <x:v>L1</x:v>
      </x:c>
      <x:c r="G44" s="6" t="str">
        <x:v>跨度18m、高7m，两柱脚固定，屋面向下6kN/m；完整属性按公共契约随题给出。 明确水平屋面和刚接梁柱，不自动生成双坡屋脊。 边界：两个柱脚固定；梁柱刚接。</x:v>
      </x:c>
      <x:c r="H44" s="6" t="str">
        <x:v>平屋面几何和固定柱脚</x:v>
      </x:c>
      <x:c r="I44" s="6" t="str">
        <x:v>portal-frame-static-18m</x:v>
      </x:c>
      <x:c r="J44" s="6" t="str">
        <x:v>portal-simple-18m</x:v>
      </x:c>
      <x:c r="K44" s="6" t="str">
        <x:v>单层单跨平屋面刚架；两个柱脚固定；梁柱刚接；仅水平屋面全跨均布竖载；梁柱角色截面；单材料</x:v>
      </x:c>
      <x:c r="L44" s="6" t="str">
        <x:v>基础工具；完整题面、参数/单位契约与真值待验证</x:v>
      </x:c>
      <x:c r="M44" s="6" t="str">
        <x:v>逐字段材料/截面数值及单位；完整支承自由度、荷载坐标与结果观测点</x:v>
      </x:c>
      <x:c r="N44" s="6" t="str">
        <x:v>独立规划骨架；可执行模型/数值真值待生成</x:v>
      </x:c>
      <x:c r="O44" s="30" t="n">
        <x:f>COUNTIFS('300题规划'!$C$2:$C$301,A44)</x:f>
        <x:v>1</x:v>
      </x:c>
      <x:c r="P44" s="5" t="str">
        <x:f>INDEX('300题规划'!$Y$2:$Y$301,MATCH(B44,'300题规划'!$A$2:$A$301,0))</x:f>
        <x:v>OpenSees</x:v>
      </x:c>
      <x:c r="Q44" s="5" t="str">
        <x:f>INDEX('300题规划'!$AB$2:$AB$301,MATCH(B44,'300题规划'!$A$2:$A$301,0))</x:f>
        <x:v>待逐题验证</x:v>
      </x:c>
    </x:row>
    <x:row r="45" ht="52.5" customHeight="1">
      <x:c r="A45" s="27" t="str">
        <x:v>M-STD-044</x:v>
      </x:c>
      <x:c r="B45" s="11" t="str">
        <x:v>STD-044</x:v>
      </x:c>
      <x:c r="C45" s="11" t="str">
        <x:v>双跨平屋面门架</x:v>
      </x:c>
      <x:c r="D45" s="11" t="str">
        <x:v>门式刚架</x:v>
      </x:c>
      <x:c r="E45" s="11" t="str">
        <x:v>2D</x:v>
      </x:c>
      <x:c r="F45" s="11" t="str">
        <x:v>L2</x:v>
      </x:c>
      <x:c r="G45" s="11" t="str">
        <x:v>两跨各18m、高9m，三柱脚固定，两跨屋面6kN/m；完整属性按公共契约随题给出。 只设置一根共用中柱，两跨屋面在同一个柱顶节点刚接。 边界：三个柱脚固定；梁柱刚接。</x:v>
      </x:c>
      <x:c r="H45" s="11" t="str">
        <x:v>中柱共节点和双跨连续连接</x:v>
      </x:c>
      <x:c r="I45" s="11" t="str">
        <x:v>std-portal-double-gt</x:v>
      </x:c>
      <x:c r="J45" s="11" t="str">
        <x:v>portal-complex-ds</x:v>
      </x:c>
      <x:c r="K45" s="11" t="str">
        <x:v>单层双等跨平屋面刚架；共用一根中柱；三个柱脚固定；梁柱刚接；两屋面跨同值均布竖载；梁柱角色截面；单材料</x:v>
      </x:c>
      <x:c r="L45" s="11" t="str">
        <x:v>基础工具；完整题面、参数/单位契约与真值待验证</x:v>
      </x:c>
      <x:c r="M45" s="11" t="str">
        <x:v>逐字段材料/截面数值及单位；完整支承自由度、荷载坐标与结果观测点</x:v>
      </x:c>
      <x:c r="N45" s="11" t="str">
        <x:v>独立规划骨架；可执行模型/数值真值待生成</x:v>
      </x:c>
      <x:c r="O45" s="30" t="n">
        <x:f>COUNTIFS('300题规划'!$C$2:$C$301,A45)</x:f>
        <x:v>1</x:v>
      </x:c>
      <x:c r="P45" s="5" t="str">
        <x:f>INDEX('300题规划'!$Y$2:$Y$301,MATCH(B45,'300题规划'!$A$2:$A$301,0))</x:f>
        <x:v>OpenSees</x:v>
      </x:c>
      <x:c r="Q45" s="5" t="str">
        <x:f>INDEX('300题规划'!$AB$2:$AB$301,MATCH(B45,'300题规划'!$A$2:$A$301,0))</x:f>
        <x:v>待逐题验证</x:v>
      </x:c>
    </x:row>
    <x:row r="46" ht="52.5" customHeight="1">
      <x:c r="A46" s="28" t="str">
        <x:v>M-STD-045</x:v>
      </x:c>
      <x:c r="B46" s="6" t="str">
        <x:v>STD-045</x:v>
      </x:c>
      <x:c r="C46" s="6" t="str">
        <x:v>屋面集中设备荷载的平屋面门架</x:v>
      </x:c>
      <x:c r="D46" s="6" t="str">
        <x:v>门式刚架</x:v>
      </x:c>
      <x:c r="E46" s="6" t="str">
        <x:v>2D</x:v>
      </x:c>
      <x:c r="F46" s="6" t="str">
        <x:v>L2</x:v>
      </x:c>
      <x:c r="G46" s="6" t="str">
        <x:v>单跨21m、高7.5m平屋面门架，两柱脚固定；屋面向下8kN/m，并在x=10.5m跨中另加向下60kN设备荷载。屋面中点为两梁段共享节点，材料截面按公共契约。 边界：两个柱脚固定；梁柱刚接。</x:v>
      </x:c>
      <x:c r="H46" s="6" t="str">
        <x:v>屋面跨中设备点载与全跨线载分别施加，点载节点实际连通</x:v>
      </x:c>
      <x:c r="I46" s="6" t="str">
        <x:v>portal-frame-static-en</x:v>
      </x:c>
      <x:c r="J46" s="6" t="str">
        <x:v>portal-simple-21m-7p5-8k</x:v>
      </x:c>
      <x:c r="K46" s="6" t="str">
        <x:v>单层单跨平屋面刚架；屋面中点连通力点；两个柱脚固定；梁柱刚接；屋面全跨均布竖载加跨中设备点载；梁柱角色截面；单材料</x:v>
      </x:c>
      <x:c r="L46" s="6" t="str">
        <x:v>基础工具；完整题面、参数/单位契约与真值待验证</x:v>
      </x:c>
      <x:c r="M46" s="6" t="str">
        <x:v>逐字段材料/截面数值及单位；完整支承自由度、荷载坐标与结果观测点</x:v>
      </x:c>
      <x:c r="N46" s="6" t="str">
        <x:v>独立规划骨架；可执行模型/数值真值待生成</x:v>
      </x:c>
      <x:c r="O46" s="30" t="n">
        <x:f>COUNTIFS('300题规划'!$C$2:$C$301,A46)</x:f>
        <x:v>1</x:v>
      </x:c>
      <x:c r="P46" s="5" t="str">
        <x:f>INDEX('300题规划'!$Y$2:$Y$301,MATCH(B46,'300题规划'!$A$2:$A$301,0))</x:f>
        <x:v>OpenSees</x:v>
      </x:c>
      <x:c r="Q46" s="5" t="str">
        <x:f>INDEX('300题规划'!$AB$2:$AB$301,MATCH(B46,'300题规划'!$A$2:$A$301,0))</x:f>
        <x:v>待逐题验证</x:v>
      </x:c>
    </x:row>
    <x:row r="47" ht="54" customHeight="1">
      <x:c r="A47" s="27" t="str">
        <x:v>M-STD-046</x:v>
      </x:c>
      <x:c r="B47" s="11" t="str">
        <x:v>STD-046</x:v>
      </x:c>
      <x:c r="C47" s="11" t="str">
        <x:v>双跨门架中柱吊车等效力</x:v>
      </x:c>
      <x:c r="D47" s="11" t="str">
        <x:v>门式刚架</x:v>
      </x:c>
      <x:c r="E47" s="11" t="str">
        <x:v>2D</x:v>
      </x:c>
      <x:c r="F47" s="11" t="str">
        <x:v>L2</x:v>
      </x:c>
      <x:c r="G47" s="11" t="str">
        <x:v>两跨18m、高9m，屋面6kN/m，中柱顶向下49kN及X向4.9kN；完整属性按公共契约随题给出。 中柱顶为49kN竖向和4.9kN水平力共同作用点，不放到外柱或屋面中点。 边界：三个柱脚固定；梁柱刚接。</x:v>
      </x:c>
      <x:c r="H47" s="11" t="str">
        <x:v>中柱作用点和不同方向力</x:v>
      </x:c>
      <x:c r="I47" s="11" t="str">
        <x:v>portal-frame-double-span-crane-static</x:v>
      </x:c>
      <x:c r="J47" s="11" t="str">
        <x:v>portal-double-36m-9m-crane5t</x:v>
      </x:c>
      <x:c r="K47" s="11" t="str">
        <x:v>单层双等跨平屋面刚架；共用中柱；三个柱脚固定；梁柱刚接；屋面均布竖载加中柱顶竖向/水平集中力；梁柱角色截面；单材料</x:v>
      </x:c>
      <x:c r="L47" s="11" t="str">
        <x:v>基础工具；完整题面、参数/单位契约与真值待验证</x:v>
      </x:c>
      <x:c r="M47" s="11" t="str">
        <x:v>逐字段材料/截面数值及单位；完整支承自由度、荷载坐标与结果观测点</x:v>
      </x:c>
      <x:c r="N47" s="11" t="str">
        <x:v>独立规划骨架；可执行模型/数值真值待生成</x:v>
      </x:c>
      <x:c r="O47" s="30" t="n">
        <x:f>COUNTIFS('300题规划'!$C$2:$C$301,A47)</x:f>
        <x:v>1</x:v>
      </x:c>
      <x:c r="P47" s="5" t="str">
        <x:f>INDEX('300题规划'!$Y$2:$Y$301,MATCH(B47,'300题规划'!$A$2:$A$301,0))</x:f>
        <x:v>OpenSees</x:v>
      </x:c>
      <x:c r="Q47" s="5" t="str">
        <x:f>INDEX('300题规划'!$AB$2:$AB$301,MATCH(B47,'300题规划'!$A$2:$A$301,0))</x:f>
        <x:v>待逐题验证</x:v>
      </x:c>
    </x:row>
    <x:row r="48" ht="54" customHeight="1">
      <x:c r="A48" s="28" t="str">
        <x:v>M-STD-047</x:v>
      </x:c>
      <x:c r="B48" s="6" t="str">
        <x:v>STD-047</x:v>
      </x:c>
      <x:c r="C48" s="6" t="str">
        <x:v>单侧夹层门架</x:v>
      </x:c>
      <x:c r="D48" s="6" t="str">
        <x:v>门式刚架</x:v>
      </x:c>
      <x:c r="E48" s="6" t="str">
        <x:v>2D</x:v>
      </x:c>
      <x:c r="F48" s="6" t="str">
        <x:v>L2</x:v>
      </x:c>
      <x:c r="G48" s="6" t="str">
        <x:v>跨度18m、高7m，左侧标高3m有6m悬挑夹层梁，屋面6、夹层4kN/m；完整属性按公共契约随题给出。 夹层梁从左柱z=3m节点向右伸出6m；自由端不加支座或虚构落地柱。 边界：两个柱脚固定；夹层端自由。</x:v>
      </x:c>
      <x:c r="H48" s="6" t="str">
        <x:v>柱上分段接入夹层及载荷分组</x:v>
      </x:c>
      <x:c r="I48" s="6" t="str">
        <x:v>portal-frame-with-mezzanine</x:v>
      </x:c>
      <x:c r="J48" s="6" t="str">
        <x:v>portal-mezzanine-18m-7m</x:v>
      </x:c>
      <x:c r="K48" s="6" t="str">
        <x:v>单层平屋面门架；左柱中高接单侧悬挑夹层；两个柱脚固定；夹层端自由；屋面与夹层不同线载；梁柱角色截面；单材料</x:v>
      </x:c>
      <x:c r="L48" s="6" t="str">
        <x:v>基础工具；完整题面、参数/单位契约与真值待验证</x:v>
      </x:c>
      <x:c r="M48" s="6" t="str">
        <x:v>逐字段材料/截面数值及单位；完整支承自由度、荷载坐标与结果观测点</x:v>
      </x:c>
      <x:c r="N48" s="6" t="str">
        <x:v>独立规划骨架；可执行模型/数值真值待生成</x:v>
      </x:c>
      <x:c r="O48" s="30" t="n">
        <x:f>COUNTIFS('300题规划'!$C$2:$C$301,A48)</x:f>
        <x:v>1</x:v>
      </x:c>
      <x:c r="P48" s="5" t="str">
        <x:f>INDEX('300题规划'!$Y$2:$Y$301,MATCH(B48,'300题规划'!$A$2:$A$301,0))</x:f>
        <x:v>OpenSees</x:v>
      </x:c>
      <x:c r="Q48" s="5" t="str">
        <x:f>INDEX('300题规划'!$AB$2:$AB$301,MATCH(B48,'300题规划'!$A$2:$A$301,0))</x:f>
        <x:v>待逐题验证</x:v>
      </x:c>
    </x:row>
    <x:row r="49" ht="54" customHeight="1">
      <x:c r="A49" s="27" t="str">
        <x:v>M-STD-048</x:v>
      </x:c>
      <x:c r="B49" s="11" t="str">
        <x:v>STD-048</x:v>
      </x:c>
      <x:c r="C49" s="11" t="str">
        <x:v>双坡屋面单跨门架</x:v>
      </x:c>
      <x:c r="D49" s="11" t="str">
        <x:v>门式刚架</x:v>
      </x:c>
      <x:c r="E49" s="11" t="str">
        <x:v>2D</x:v>
      </x:c>
      <x:c r="F49" s="11" t="str">
        <x:v>L2</x:v>
      </x:c>
      <x:c r="G49" s="11" t="str">
        <x:v>跨度20m、檐高6m、屋脊高8m，柱脚固定，按屋面实际长度施加竖向6kN/m；完整属性按公共契约随题给出。 两坡线载按各坡实际长度计算合力，方向保持全局向下；屋脊刚接。 边界：两个柱脚固定。</x:v>
      </x:c>
      <x:c r="H49" s="11" t="str">
        <x:v>坡梁真实长度与全局荷载方向</x:v>
      </x:c>
      <x:c r="I49" s="11" t="str">
        <x:v>无</x:v>
      </x:c>
      <x:c r="J49" s="11" t="str">
        <x:v>无</x:v>
      </x:c>
      <x:c r="K49" s="11" t="str">
        <x:v>单层单跨对称双坡门架；屋脊刚接；两个柱脚固定；两坡按实际坡长全局竖向均布载；梁柱角色截面；单材料</x:v>
      </x:c>
      <x:c r="L49" s="11" t="str">
        <x:v>斜杆荷载与局部轴需验证；完整题面、参数/单位契约与真值待验证</x:v>
      </x:c>
      <x:c r="M49" s="11" t="str">
        <x:v>逐字段材料/截面数值及单位；完整支承自由度、荷载坐标与结果观测点</x:v>
      </x:c>
      <x:c r="N49" s="11" t="str">
        <x:v>独立规划骨架；可执行模型/数值真值待生成</x:v>
      </x:c>
      <x:c r="O49" s="30" t="n">
        <x:f>COUNTIFS('300题规划'!$C$2:$C$301,A49)</x:f>
        <x:v>1</x:v>
      </x:c>
      <x:c r="P49" s="5" t="str">
        <x:f>INDEX('300题规划'!$Y$2:$Y$301,MATCH(B49,'300题规划'!$A$2:$A$301,0))</x:f>
        <x:v>OpenSees</x:v>
      </x:c>
      <x:c r="Q49" s="5" t="str">
        <x:f>INDEX('300题规划'!$AB$2:$AB$301,MATCH(B49,'300题规划'!$A$2:$A$301,0))</x:f>
        <x:v>待逐题验证</x:v>
      </x:c>
    </x:row>
    <x:row r="50" ht="52.5" customHeight="1">
      <x:c r="A50" s="28" t="str">
        <x:v>M-STD-049</x:v>
      </x:c>
      <x:c r="B50" s="6" t="str">
        <x:v>STD-049</x:v>
      </x:c>
      <x:c r="C50" s="6" t="str">
        <x:v>偏置屋脊非对称门架</x:v>
      </x:c>
      <x:c r="D50" s="6" t="str">
        <x:v>门式刚架</x:v>
      </x:c>
      <x:c r="E50" s="6" t="str">
        <x:v>2D</x:v>
      </x:c>
      <x:c r="F50" s="6" t="str">
        <x:v>L3</x:v>
      </x:c>
      <x:c r="G50" s="6" t="str">
        <x:v>跨度24m，屋脊距左柱10m，檐高6m、脊高8m，两坡不同线载；完整属性按公共契约随题给出。 左坡5kN/m、右坡7kN/m均按实际坡长向下；屋脊坐标(10,8)m。 边界：两个柱脚固定。</x:v>
      </x:c>
      <x:c r="H50" s="6" t="str">
        <x:v>非对称坡度及两坡荷载匹配</x:v>
      </x:c>
      <x:c r="I50" s="6" t="str">
        <x:v>无</x:v>
      </x:c>
      <x:c r="J50" s="6" t="str">
        <x:v>无</x:v>
      </x:c>
      <x:c r="K50" s="6" t="str">
        <x:v>单层单跨偏心屋脊门架；两坡长度不同；两个柱脚固定；两坡分别不同全局竖向均布载；梁柱角色截面；单材料</x:v>
      </x:c>
      <x:c r="L50" s="6" t="str">
        <x:v>斜杆荷载与局部轴需验证；完整题面、参数/单位契约与真值待验证</x:v>
      </x:c>
      <x:c r="M50" s="6" t="str">
        <x:v>逐字段材料/截面数值及单位；完整支承自由度、荷载坐标与结果观测点</x:v>
      </x:c>
      <x:c r="N50" s="6" t="str">
        <x:v>独立规划骨架；可执行模型/数值真值待生成</x:v>
      </x:c>
      <x:c r="O50" s="30" t="n">
        <x:f>COUNTIFS('300题规划'!$C$2:$C$301,A50)</x:f>
        <x:v>1</x:v>
      </x:c>
      <x:c r="P50" s="5" t="str">
        <x:f>INDEX('300题规划'!$Y$2:$Y$301,MATCH(B50,'300题规划'!$A$2:$A$301,0))</x:f>
        <x:v>OpenSees</x:v>
      </x:c>
      <x:c r="Q50" s="5" t="str">
        <x:f>INDEX('300题规划'!$AB$2:$AB$301,MATCH(B50,'300题规划'!$A$2:$A$301,0))</x:f>
        <x:v>待逐题验证</x:v>
      </x:c>
    </x:row>
    <x:row r="51" ht="54" customHeight="1">
      <x:c r="A51" s="27" t="str">
        <x:v>M-STD-050</x:v>
      </x:c>
      <x:c r="B51" s="11" t="str">
        <x:v>STD-050</x:v>
      </x:c>
      <x:c r="C51" s="11" t="str">
        <x:v>不等跨错高门架</x:v>
      </x:c>
      <x:c r="D51" s="11" t="str">
        <x:v>门式刚架</x:v>
      </x:c>
      <x:c r="E51" s="11" t="str">
        <x:v>2D</x:v>
      </x:c>
      <x:c r="F51" s="11" t="str">
        <x:v>L3</x:v>
      </x:c>
      <x:c r="G51" s="11" t="str">
        <x:v>两跨12、18m，屋面标高6、8m，共用中柱分段节点，屋面分别5、7kN/m；完整属性按公共契约随题给出。 中柱在z=6m和8m各设刚接节点，右跨梁连接中柱上节点，左跨连接下节点。 边界：三个柱脚固定。</x:v>
      </x:c>
      <x:c r="H51" s="11" t="str">
        <x:v>错高节点不能误合并或遗漏柱段</x:v>
      </x:c>
      <x:c r="I51" s="11" t="str">
        <x:v>无</x:v>
      </x:c>
      <x:c r="J51" s="11" t="str">
        <x:v>无</x:v>
      </x:c>
      <x:c r="K51" s="11" t="str">
        <x:v>双不等跨错高门架；中柱两个高度刚接节点；三个柱脚固定；两屋面标高分别不同线载；梁柱角色截面；单材料</x:v>
      </x:c>
      <x:c r="L51" s="11" t="str">
        <x:v>基础工具；完整题面、参数/单位契约与真值待验证</x:v>
      </x:c>
      <x:c r="M51" s="11" t="str">
        <x:v>逐字段材料/截面数值及单位；完整支承自由度、荷载坐标与结果观测点</x:v>
      </x:c>
      <x:c r="N51" s="11" t="str">
        <x:v>独立规划骨架；可执行模型/数值真值待生成</x:v>
      </x:c>
      <x:c r="O51" s="30" t="n">
        <x:f>COUNTIFS('300题规划'!$C$2:$C$301,A51)</x:f>
        <x:v>1</x:v>
      </x:c>
      <x:c r="P51" s="5" t="str">
        <x:f>INDEX('300题规划'!$Y$2:$Y$301,MATCH(B51,'300题规划'!$A$2:$A$301,0))</x:f>
        <x:v>OpenSees</x:v>
      </x:c>
      <x:c r="Q51" s="5" t="str">
        <x:f>INDEX('300题规划'!$AB$2:$AB$301,MATCH(B51,'300题规划'!$A$2:$A$301,0))</x:f>
        <x:v>待逐题验证</x:v>
      </x:c>
    </x:row>
    <x:row r="52" ht="54" customHeight="1">
      <x:c r="A52" s="28" t="str">
        <x:v>M-STD-051</x:v>
      </x:c>
      <x:c r="B52" s="6" t="str">
        <x:v>STD-051</x:v>
      </x:c>
      <x:c r="C52" s="6" t="str">
        <x:v>双坡门架局部上拔工况</x:v>
      </x:c>
      <x:c r="D52" s="6" t="str">
        <x:v>门式刚架</x:v>
      </x:c>
      <x:c r="E52" s="6" t="str">
        <x:v>2D</x:v>
      </x:c>
      <x:c r="F52" s="6" t="str">
        <x:v>L3</x:v>
      </x:c>
      <x:c r="G52" s="6" t="str">
        <x:v>跨度18m、檐高6m、脊高7.5m，D全屋面向下，W只右坡向上，题定组合；完整属性按公共契约随题给出。 D两坡各向下6kN/m，W仅右坡向上8kN/m，按坡长；C0=D、C1=D+W。 边界：两个柱脚固定。</x:v>
      </x:c>
      <x:c r="H52" s="6" t="str">
        <x:v>坡梁方向、局部风区与组合</x:v>
      </x:c>
      <x:c r="I52" s="6" t="str">
        <x:v>无</x:v>
      </x:c>
      <x:c r="J52" s="6" t="str">
        <x:v>无</x:v>
      </x:c>
      <x:c r="K52" s="6" t="str">
        <x:v>单层单跨对称双坡门架；两个柱脚固定；D两坡向下；W仅右坡向上；两组合；梁柱角色截面；单材料</x:v>
      </x:c>
      <x:c r="L52" s="6" t="str">
        <x:v>斜杆荷载与多组合需验证；完整题面、参数/单位契约与真值待验证</x:v>
      </x:c>
      <x:c r="M52" s="6" t="str">
        <x:v>逐字段材料/截面数值及单位；完整支承自由度、荷载坐标与结果观测点；完整工况/组合系数表</x:v>
      </x:c>
      <x:c r="N52" s="6" t="str">
        <x:v>独立规划骨架；可执行模型/数值真值待生成</x:v>
      </x:c>
      <x:c r="O52" s="30" t="n">
        <x:f>COUNTIFS('300题规划'!$C$2:$C$301,A52)</x:f>
        <x:v>1</x:v>
      </x:c>
      <x:c r="P52" s="5" t="str">
        <x:f>INDEX('300题规划'!$Y$2:$Y$301,MATCH(B52,'300题规划'!$A$2:$A$301,0))</x:f>
        <x:v>OpenSees</x:v>
      </x:c>
      <x:c r="Q52" s="5" t="str">
        <x:f>INDEX('300题规划'!$AB$2:$AB$301,MATCH(B52,'300题规划'!$A$2:$A$301,0))</x:f>
        <x:v>待逐题验证</x:v>
      </x:c>
    </x:row>
    <x:row r="53" ht="52.5" customHeight="1">
      <x:c r="A53" s="27" t="str">
        <x:v>M-STD-052</x:v>
      </x:c>
      <x:c r="B53" s="11" t="str">
        <x:v>STD-052</x:v>
      </x:c>
      <x:c r="C53" s="11" t="str">
        <x:v>分段截面近似变截面门架</x:v>
      </x:c>
      <x:c r="D53" s="11" t="str">
        <x:v>门式刚架</x:v>
      </x:c>
      <x:c r="E53" s="11" t="str">
        <x:v>2D</x:v>
      </x:c>
      <x:c r="F53" s="11" t="str">
        <x:v>L3</x:v>
      </x:c>
      <x:c r="G53" s="11" t="str">
        <x:v>跨度22m、高7m，屋面梁分三段给定常截面，不采用连续变截面单元；完整属性按公共契约随题给出。 水平屋面在x=5m、17m分界，三段分别给B1/B2/B3，向下6kN/m。 边界：两个柱脚固定。</x:v>
      </x:c>
      <x:c r="H53" s="11" t="str">
        <x:v>分段属性与几何连续性</x:v>
      </x:c>
      <x:c r="I53" s="11" t="str">
        <x:v>无</x:v>
      </x:c>
      <x:c r="J53" s="11" t="str">
        <x:v>无</x:v>
      </x:c>
      <x:c r="K53" s="11" t="str">
        <x:v>单层单跨平屋面门架；屋面三段连续；两个柱脚固定；屋面全跨均布竖载；屋面B1/B2/B3分段常截面；柱另组</x:v>
      </x:c>
      <x:c r="L53" s="11" t="str">
        <x:v>基础工具；完整题面、参数/单位契约与真值待验证</x:v>
      </x:c>
      <x:c r="M53" s="11" t="str">
        <x:v>逐字段材料/截面数值及单位；完整支承自由度、荷载坐标与结果观测点</x:v>
      </x:c>
      <x:c r="N53" s="11" t="str">
        <x:v>独立规划骨架；可执行模型/数值真值待生成</x:v>
      </x:c>
      <x:c r="O53" s="30" t="n">
        <x:f>COUNTIFS('300题规划'!$C$2:$C$301,A53)</x:f>
        <x:v>1</x:v>
      </x:c>
      <x:c r="P53" s="5" t="str">
        <x:f>INDEX('300题规划'!$Y$2:$Y$301,MATCH(B53,'300题规划'!$A$2:$A$301,0))</x:f>
        <x:v>OpenSees</x:v>
      </x:c>
      <x:c r="Q53" s="5" t="str">
        <x:f>INDEX('300题规划'!$AB$2:$AB$301,MATCH(B53,'300题规划'!$A$2:$A$301,0))</x:f>
        <x:v>待逐题验证</x:v>
      </x:c>
    </x:row>
    <x:row r="54" ht="52.5" customHeight="1">
      <x:c r="A54" s="28" t="str">
        <x:v>M-STD-053</x:v>
      </x:c>
      <x:c r="B54" s="6" t="str">
        <x:v>STD-053</x:v>
      </x:c>
      <x:c r="C54" s="6" t="str">
        <x:v>铰固混合柱脚门架</x:v>
      </x:c>
      <x:c r="D54" s="6" t="str">
        <x:v>门式刚架</x:v>
      </x:c>
      <x:c r="E54" s="6" t="str">
        <x:v>2D</x:v>
      </x:c>
      <x:c r="F54" s="6" t="str">
        <x:v>L2</x:v>
      </x:c>
      <x:c r="G54" s="6" t="str">
        <x:v>跨度16m、高6m，左柱脚铰支右固支，竖载与右柱顶水平力；完整属性按公共契约随题给出。 屋面向下5kN/m，右柱顶X向20kN；左柱脚转角自由而右柱脚固定。 边界：左柱脚铰支右柱脚固定。</x:v>
      </x:c>
      <x:c r="H54" s="6" t="str">
        <x:v>两侧边界不同不能复制约束</x:v>
      </x:c>
      <x:c r="I54" s="6" t="str">
        <x:v>无</x:v>
      </x:c>
      <x:c r="J54" s="6" t="str">
        <x:v>无</x:v>
      </x:c>
      <x:c r="K54" s="6" t="str">
        <x:v>单层单跨平屋面门架；左柱脚铰支右柱脚固定；屋面均布竖载加右柱顶水平点载；梁柱角色截面；单材料</x:v>
      </x:c>
      <x:c r="L54" s="6" t="str">
        <x:v>基础工具；完整题面、参数/单位契约与真值待验证</x:v>
      </x:c>
      <x:c r="M54" s="6" t="str">
        <x:v>逐字段材料/截面数值及单位；完整支承自由度、荷载坐标与结果观测点</x:v>
      </x:c>
      <x:c r="N54" s="6" t="str">
        <x:v>独立规划骨架；可执行模型/数值真值待生成</x:v>
      </x:c>
      <x:c r="O54" s="30" t="n">
        <x:f>COUNTIFS('300题规划'!$C$2:$C$301,A54)</x:f>
        <x:v>1</x:v>
      </x:c>
      <x:c r="P54" s="5" t="str">
        <x:f>INDEX('300题规划'!$Y$2:$Y$301,MATCH(B54,'300题规划'!$A$2:$A$301,0))</x:f>
        <x:v>OpenSees</x:v>
      </x:c>
      <x:c r="Q54" s="5" t="str">
        <x:f>INDEX('300题规划'!$AB$2:$AB$301,MATCH(B54,'300题规划'!$A$2:$A$301,0))</x:f>
        <x:v>待逐题验证</x:v>
      </x:c>
    </x:row>
    <x:row r="55" ht="52.5" customHeight="1">
      <x:c r="A55" s="27" t="str">
        <x:v>M-STD-054</x:v>
      </x:c>
      <x:c r="B55" s="11" t="str">
        <x:v>STD-054</x:v>
      </x:c>
      <x:c r="C55" s="11" t="str">
        <x:v>不等跨门架不同构件组</x:v>
      </x:c>
      <x:c r="D55" s="11" t="str">
        <x:v>门式刚架</x:v>
      </x:c>
      <x:c r="E55" s="11" t="str">
        <x:v>2D</x:v>
      </x:c>
      <x:c r="F55" s="11" t="str">
        <x:v>L3</x:v>
      </x:c>
      <x:c r="G55" s="11" t="str">
        <x:v>跨度12、15m、高7m，外柱中柱梁三组截面，D/W两个明确工况；完整属性按公共契约随题给出。 D两跨屋面各6kN/m；W作用两外柱顶各X向10kN；C0=D、C1=D+W。 边界：三个柱脚固定。</x:v>
      </x:c>
      <x:c r="H55" s="11" t="str">
        <x:v>构件角色分组及荷载方向</x:v>
      </x:c>
      <x:c r="I55" s="11" t="str">
        <x:v>无</x:v>
      </x:c>
      <x:c r="J55" s="11" t="str">
        <x:v>无</x:v>
      </x:c>
      <x:c r="K55" s="11" t="str">
        <x:v>单层双不等跨平屋面门架；三个柱脚固定；D两跨均布；W两外柱顶同向侧力；两组合；外柱/中柱/梁三个截面组</x:v>
      </x:c>
      <x:c r="L55" s="11" t="str">
        <x:v>多组合执行契约需验证；完整题面、参数/单位契约与真值待验证</x:v>
      </x:c>
      <x:c r="M55" s="11" t="str">
        <x:v>逐字段材料/截面数值及单位；完整支承自由度、荷载坐标与结果观测点；完整工况/组合系数表</x:v>
      </x:c>
      <x:c r="N55" s="11" t="str">
        <x:v>独立规划骨架；可执行模型/数值真值待生成</x:v>
      </x:c>
      <x:c r="O55" s="30" t="n">
        <x:f>COUNTIFS('300题规划'!$C$2:$C$301,A55)</x:f>
        <x:v>1</x:v>
      </x:c>
      <x:c r="P55" s="5" t="str">
        <x:f>INDEX('300题规划'!$Y$2:$Y$301,MATCH(B55,'300题规划'!$A$2:$A$301,0))</x:f>
        <x:v>OpenSees</x:v>
      </x:c>
      <x:c r="Q55" s="5" t="str">
        <x:f>INDEX('300题规划'!$AB$2:$AB$301,MATCH(B55,'300题规划'!$A$2:$A$301,0))</x:f>
        <x:v>待逐题验证</x:v>
      </x:c>
    </x:row>
    <x:row r="56" ht="54" customHeight="1">
      <x:c r="A56" s="28" t="str">
        <x:v>M-STD-055</x:v>
      </x:c>
      <x:c r="B56" s="6" t="str">
        <x:v>STD-055</x:v>
      </x:c>
      <x:c r="C56" s="6" t="str">
        <x:v>两层单跨钢框架</x:v>
      </x:c>
      <x:c r="D56" s="6" t="str">
        <x:v>平面钢框架</x:v>
      </x:c>
      <x:c r="E56" s="6" t="str">
        <x:v>2D</x:v>
      </x:c>
      <x:c r="F56" s="6" t="str">
        <x:v>L1</x:v>
      </x:c>
      <x:c r="G56" s="6" t="str">
        <x:v>两层各3.6m、跨6m，面载10kN/m²按6m受荷宽度折算，仅施加线载；完整属性按公共契约随题给出。 明确每层只施加60kN/m梁线载；各层左右梁柱节点分别报告，不能合成虚构刚性楼层位移。 边界：全部柱脚固定；楼层不加刚性约束。</x:v>
      </x:c>
      <x:c r="H56" s="6" t="str">
        <x:v>面载不能与折算线载重复</x:v>
      </x:c>
      <x:c r="I56" s="6" t="str">
        <x:v>frame-2story-1bay-static</x:v>
      </x:c>
      <x:c r="J56" s="6" t="str">
        <x:v>frame-2s1b-6m-10k</x:v>
      </x:c>
      <x:c r="K56" s="6" t="str">
        <x:v>平面两层单跨等层高钢框架；全部柱脚固定；楼层不加刚性约束；两层同值梁线载；已按受荷宽度折算；单钢材料；梁柱分组截面</x:v>
      </x:c>
      <x:c r="L56" s="6" t="str">
        <x:v>基础工具；完整题面、参数/单位契约与真值待验证</x:v>
      </x:c>
      <x:c r="M56" s="6" t="str">
        <x:v>逐字段材料/截面数值及单位；完整支承自由度、荷载坐标与结果观测点；受荷宽度/分配规则逐梁列明</x:v>
      </x:c>
      <x:c r="N56" s="6" t="str">
        <x:v>独立规划骨架；可执行模型/数值真值待生成</x:v>
      </x:c>
      <x:c r="O56" s="30" t="n">
        <x:f>COUNTIFS('300题规划'!$C$2:$C$301,A56)</x:f>
        <x:v>1</x:v>
      </x:c>
      <x:c r="P56" s="5" t="str">
        <x:f>INDEX('300题规划'!$Y$2:$Y$301,MATCH(B56,'300题规划'!$A$2:$A$301,0))</x:f>
        <x:v>OpenSees</x:v>
      </x:c>
      <x:c r="Q56" s="5" t="str">
        <x:f>INDEX('300题规划'!$AB$2:$AB$301,MATCH(B56,'300题规划'!$A$2:$A$301,0))</x:f>
        <x:v>待逐题验证</x:v>
      </x:c>
    </x:row>
    <x:row r="57" ht="54" customHeight="1">
      <x:c r="A57" s="27" t="str">
        <x:v>M-STD-056</x:v>
      </x:c>
      <x:c r="B57" s="11" t="str">
        <x:v>STD-056</x:v>
      </x:c>
      <x:c r="C57" s="11" t="str">
        <x:v>24m工业重型框架</x:v>
      </x:c>
      <x:c r="D57" s="11" t="str">
        <x:v>平面钢框架</x:v>
      </x:c>
      <x:c r="E57" s="11" t="str">
        <x:v>2D</x:v>
      </x:c>
      <x:c r="F57" s="11" t="str">
        <x:v>L2</x:v>
      </x:c>
      <x:c r="G57" s="11" t="str">
        <x:v>跨度24m、高12m，屋面36kN/m，右柱顶向下98kN及X向10kN；完整属性按公共契约随题给出。 屋面36kN/m已经折算；吊车在右柱顶施加两分量，原1.5kN/m²只作来源说明。 边界：全部柱脚固定。</x:v>
      </x:c>
      <x:c r="H57" s="11" t="str">
        <x:v>吊车等效荷载方向与屋面分项</x:v>
      </x:c>
      <x:c r="I57" s="11" t="str">
        <x:v>frame-industrial-heavy</x:v>
      </x:c>
      <x:c r="J57" s="11" t="str">
        <x:v>frame-industrial-24m-12m-crane10t</x:v>
      </x:c>
      <x:c r="K57" s="11" t="str">
        <x:v>平面单层单跨重型厂房框架；全部柱脚固定；屋面折算线载加右柱顶竖向/水平设备力；单钢材料；梁柱分组截面</x:v>
      </x:c>
      <x:c r="L57" s="11" t="str">
        <x:v>基础工具；完整题面、参数/单位契约与真值待验证</x:v>
      </x:c>
      <x:c r="M57" s="11" t="str">
        <x:v>逐字段材料/截面数值及单位；完整支承自由度、荷载坐标与结果观测点；受荷宽度/分配规则逐梁列明</x:v>
      </x:c>
      <x:c r="N57" s="11" t="str">
        <x:v>独立规划骨架；可执行模型/数值真值待生成</x:v>
      </x:c>
      <x:c r="O57" s="30" t="n">
        <x:f>COUNTIFS('300题规划'!$C$2:$C$301,A57)</x:f>
        <x:v>1</x:v>
      </x:c>
      <x:c r="P57" s="5" t="str">
        <x:f>INDEX('300题规划'!$Y$2:$Y$301,MATCH(B57,'300题规划'!$A$2:$A$301,0))</x:f>
        <x:v>OpenSees</x:v>
      </x:c>
      <x:c r="Q57" s="5" t="str">
        <x:f>INDEX('300题规划'!$AB$2:$AB$301,MATCH(B57,'300题规划'!$A$2:$A$301,0))</x:f>
        <x:v>待逐题验证</x:v>
      </x:c>
    </x:row>
    <x:row r="58" ht="52.5" customHeight="1">
      <x:c r="A58" s="28" t="str">
        <x:v>M-STD-057</x:v>
      </x:c>
      <x:c r="B58" s="6" t="str">
        <x:v>STD-057</x:v>
      </x:c>
      <x:c r="C58" s="6" t="str">
        <x:v>三层两跨框架分层侧力</x:v>
      </x:c>
      <x:c r="D58" s="6" t="str">
        <x:v>平面钢框架</x:v>
      </x:c>
      <x:c r="E58" s="6" t="str">
        <x:v>2D</x:v>
      </x:c>
      <x:c r="F58" s="6" t="str">
        <x:v>L2</x:v>
      </x:c>
      <x:c r="G58" s="6" t="str">
        <x:v>三层各3.6m、两跨6m，各梁10kN/m，右侧逐层X向10、15、20kN；完整属性按公共契约随题给出。 D为各梁10kN/m，W为右侧一至三层10/15/20kN；求D、W、D+W。 边界：全部柱脚固定。</x:v>
      </x:c>
      <x:c r="H58" s="6" t="str">
        <x:v>楼层作用点和力值顺序</x:v>
      </x:c>
      <x:c r="I58" s="6" t="str">
        <x:v>std-frame-3s2b-wind</x:v>
      </x:c>
      <x:c r="J58" s="6" t="str">
        <x:v>frame-3s2b-6m-10k-wind</x:v>
      </x:c>
      <x:c r="K58" s="6" t="str">
        <x:v>平面三层两等跨钢框架；全部柱脚固定；D全部梁同值线载；W右侧各层递增侧力；组合；单钢材料；梁柱分组截面</x:v>
      </x:c>
      <x:c r="L58" s="6" t="str">
        <x:v>多工况/多组合执行及结果索引需验证；完整题面、参数/单位契约与真值待验证</x:v>
      </x:c>
      <x:c r="M58" s="6" t="str">
        <x:v>逐字段材料/截面数值及单位；完整支承自由度、荷载坐标与结果观测点；完整工况/组合系数表</x:v>
      </x:c>
      <x:c r="N58" s="6" t="str">
        <x:v>独立规划骨架；可执行模型/数值真值待生成</x:v>
      </x:c>
      <x:c r="O58" s="30" t="n">
        <x:f>COUNTIFS('300题规划'!$C$2:$C$301,A58)</x:f>
        <x:v>1</x:v>
      </x:c>
      <x:c r="P58" s="5" t="str">
        <x:f>INDEX('300题规划'!$Y$2:$Y$301,MATCH(B58,'300题规划'!$A$2:$A$301,0))</x:f>
        <x:v>OpenSees</x:v>
      </x:c>
      <x:c r="Q58" s="5" t="str">
        <x:f>INDEX('300题规划'!$AB$2:$AB$301,MATCH(B58,'300题规划'!$A$2:$A$301,0))</x:f>
        <x:v>待逐题验证</x:v>
      </x:c>
    </x:row>
    <x:row r="59" ht="52.5" customHeight="1">
      <x:c r="A59" s="27" t="str">
        <x:v>M-STD-058</x:v>
      </x:c>
      <x:c r="B59" s="11" t="str">
        <x:v>STD-058</x:v>
      </x:c>
      <x:c r="C59" s="11" t="str">
        <x:v>单层单跨侧向框架</x:v>
      </x:c>
      <x:c r="D59" s="11" t="str">
        <x:v>平面钢框架</x:v>
      </x:c>
      <x:c r="E59" s="11" t="str">
        <x:v>2D</x:v>
      </x:c>
      <x:c r="F59" s="11" t="str">
        <x:v>L1</x:v>
      </x:c>
      <x:c r="G59" s="11" t="str">
        <x:v>跨6m、高4m、两柱脚固定，右上节点X向50kN；完整属性按公共契约随题给出。 右上节点单独施加50kN，不把两柱顶当作刚性楼板耦合。 边界：两个柱脚固定。</x:v>
      </x:c>
      <x:c r="H59" s="11" t="str">
        <x:v>完整物理框架不因generic而升级难度</x:v>
      </x:c>
      <x:c r="I59" s="11" t="str">
        <x:v>std-generic-single-bay-lateral</x:v>
      </x:c>
      <x:c r="J59" s="11" t="str">
        <x:v>generic-single-bay-6m-4m-lateral50</x:v>
      </x:c>
      <x:c r="K59" s="11" t="str">
        <x:v>平面单层单跨刚接钢框架；两个柱脚固定；仅右上节点水平集中力；单钢材料；梁柱分组截面</x:v>
      </x:c>
      <x:c r="L59" s="11" t="str">
        <x:v>基础工具；完整题面、参数/单位契约与真值待验证</x:v>
      </x:c>
      <x:c r="M59" s="11" t="str">
        <x:v>逐字段材料/截面数值及单位；完整支承自由度、荷载坐标与结果观测点</x:v>
      </x:c>
      <x:c r="N59" s="11" t="str">
        <x:v>独立规划骨架；可执行模型/数值真值待生成</x:v>
      </x:c>
      <x:c r="O59" s="30" t="n">
        <x:f>COUNTIFS('300题规划'!$C$2:$C$301,A59)</x:f>
        <x:v>1</x:v>
      </x:c>
      <x:c r="P59" s="5" t="str">
        <x:f>INDEX('300题规划'!$Y$2:$Y$301,MATCH(B59,'300题规划'!$A$2:$A$301,0))</x:f>
        <x:v>OpenSees</x:v>
      </x:c>
      <x:c r="Q59" s="5" t="str">
        <x:f>INDEX('300题规划'!$AB$2:$AB$301,MATCH(B59,'300题规划'!$A$2:$A$301,0))</x:f>
        <x:v>待逐题验证</x:v>
      </x:c>
    </x:row>
    <x:row r="60" ht="54" customHeight="1">
      <x:c r="A60" s="28" t="str">
        <x:v>M-STD-059</x:v>
      </x:c>
      <x:c r="B60" s="6" t="str">
        <x:v>STD-059</x:v>
      </x:c>
      <x:c r="C60" s="6" t="str">
        <x:v>带中高连系梁的单层钢框架</x:v>
      </x:c>
      <x:c r="D60" s="6" t="str">
        <x:v>平面钢框架</x:v>
      </x:c>
      <x:c r="E60" s="6" t="str">
        <x:v>2D</x:v>
      </x:c>
      <x:c r="F60" s="6" t="str">
        <x:v>L2</x:v>
      </x:c>
      <x:c r="G60" s="6" t="str">
        <x:v>单层单跨钢框架，跨6m、屋面高4.5m，两柱脚固定；新增z=2.25m水平连系梁与两柱刚接，连系梁无外载。屋面8kN/m²按6m宽度折成48kN/m，材料/截面按公共契约给出。 边界：两柱脚固定；中高连系梁两端刚接。</x:v>
      </x:c>
      <x:c r="H60" s="6" t="str">
        <x:v>中高连系梁使两柱分段并连通；无载连系梁仍参与刚度，屋面面载仅折算一次</x:v>
      </x:c>
      <x:c r="I60" s="6" t="str">
        <x:v>re-frame-simple-1s1b-mechanics</x:v>
      </x:c>
      <x:c r="J60" s="6" t="str">
        <x:v>frame-simple-1s1b</x:v>
      </x:c>
      <x:c r="K60" s="6" t="str">
        <x:v>单层单跨钢框架；柱中高增加全跨刚接连系梁；两柱脚固定；中高连系梁两端刚接；屋面面载一次折算线载；中高连系梁无外载；单钢材料；屋面梁/连系梁与柱属性明确</x:v>
      </x:c>
      <x:c r="L60" s="6" t="str">
        <x:v>基础工具；完整题面、参数/单位契约与真值待验证</x:v>
      </x:c>
      <x:c r="M60" s="6" t="str">
        <x:v>逐字段材料/截面数值及单位；完整支承自由度、荷载坐标与结果观测点；受荷宽度/分配规则逐梁列明</x:v>
      </x:c>
      <x:c r="N60" s="6" t="str">
        <x:v>独立规划骨架；可执行模型/数值真值待生成</x:v>
      </x:c>
      <x:c r="O60" s="30" t="n">
        <x:f>COUNTIFS('300题规划'!$C$2:$C$301,A60)</x:f>
        <x:v>1</x:v>
      </x:c>
      <x:c r="P60" s="5" t="str">
        <x:f>INDEX('300题规划'!$Y$2:$Y$301,MATCH(B60,'300题规划'!$A$2:$A$301,0))</x:f>
        <x:v>OpenSees</x:v>
      </x:c>
      <x:c r="Q60" s="5" t="str">
        <x:f>INDEX('300题规划'!$AB$2:$AB$301,MATCH(B60,'300题规划'!$A$2:$A$301,0))</x:f>
        <x:v>待逐题验证</x:v>
      </x:c>
    </x:row>
    <x:row r="61" ht="54" customHeight="1">
      <x:c r="A61" s="27" t="str">
        <x:v>M-STD-060</x:v>
      </x:c>
      <x:c r="B61" s="11" t="str">
        <x:v>STD-060</x:v>
      </x:c>
      <x:c r="C61" s="11" t="str">
        <x:v>两层不等跨框架D与L</x:v>
      </x:c>
      <x:c r="D61" s="11" t="str">
        <x:v>平面钢框架</x:v>
      </x:c>
      <x:c r="E61" s="11" t="str">
        <x:v>2D</x:v>
      </x:c>
      <x:c r="F61" s="11" t="str">
        <x:v>L2</x:v>
      </x:c>
      <x:c r="G61" s="11" t="str">
        <x:v>两层各3.6m，跨度5.4、6m，D=10、L=8kN/m，组合1.2D+1.4L；完整属性按公共契约随题给出。 将旧DXF转为文字尺寸/成员表；保留D和L，不先把10+8合成单工况再放大。 边界：全部柱脚固定。</x:v>
      </x:c>
      <x:c r="H61" s="11" t="str">
        <x:v>不等跨及恒活载分离</x:v>
      </x:c>
      <x:c r="I61" s="11" t="str">
        <x:v>re-dxf-frame-complex-2s2b</x:v>
      </x:c>
      <x:c r="J61" s="11" t="str">
        <x:v>frame-complex-2s2b</x:v>
      </x:c>
      <x:c r="K61" s="11" t="str">
        <x:v>平面两层两不等跨钢框架；全部柱脚固定；D/L分别全梁线载；1.2D+1.4L组合；单钢材料；梁柱分组截面</x:v>
      </x:c>
      <x:c r="L61" s="11" t="str">
        <x:v>多工况/多组合执行及结果索引需验证；完整题面、参数/单位契约与真值待验证</x:v>
      </x:c>
      <x:c r="M61" s="11" t="str">
        <x:v>逐字段材料/截面数值及单位；完整支承自由度、荷载坐标与结果观测点；完整工况/组合系数表</x:v>
      </x:c>
      <x:c r="N61" s="11" t="str">
        <x:v>独立规划骨架；可执行模型/数值真值待生成</x:v>
      </x:c>
      <x:c r="O61" s="30" t="n">
        <x:f>COUNTIFS('300题规划'!$C$2:$C$301,A61)</x:f>
        <x:v>1</x:v>
      </x:c>
      <x:c r="P61" s="5" t="str">
        <x:f>INDEX('300题规划'!$Y$2:$Y$301,MATCH(B61,'300题规划'!$A$2:$A$301,0))</x:f>
        <x:v>OpenSees</x:v>
      </x:c>
      <x:c r="Q61" s="5" t="str">
        <x:f>INDEX('300题规划'!$AB$2:$AB$301,MATCH(B61,'300题规划'!$A$2:$A$301,0))</x:f>
        <x:v>待逐题验证</x:v>
      </x:c>
    </x:row>
    <x:row r="62" ht="52.5" customHeight="1">
      <x:c r="A62" s="28" t="str">
        <x:v>M-STD-061</x:v>
      </x:c>
      <x:c r="B62" s="6" t="str">
        <x:v>STD-061</x:v>
      </x:c>
      <x:c r="C62" s="6" t="str">
        <x:v>不等层高不等跨钢框架</x:v>
      </x:c>
      <x:c r="D62" s="6" t="str">
        <x:v>平面钢框架</x:v>
      </x:c>
      <x:c r="E62" s="6" t="str">
        <x:v>2D</x:v>
      </x:c>
      <x:c r="F62" s="6" t="str">
        <x:v>L2</x:v>
      </x:c>
      <x:c r="G62" s="6" t="str">
        <x:v>两层3.6、4.2m，两跨4.5、7.5m，逐梁明示线载；完整属性按公共契约随题给出。 楼层标高为3.6m、7.8m；下层左右梁线载8/12，上层6/10kN/m。 边界：全部柱脚固定。</x:v>
      </x:c>
      <x:c r="H62" s="6" t="str">
        <x:v>标高累加与跨度列表</x:v>
      </x:c>
      <x:c r="I62" s="6" t="str">
        <x:v>无</x:v>
      </x:c>
      <x:c r="J62" s="6" t="str">
        <x:v>无</x:v>
      </x:c>
      <x:c r="K62" s="6" t="str">
        <x:v>平面两层两不等跨；不等层高钢框架；全部柱脚固定；四根梁按楼层与跨位给不同线载；单钢材料；梁柱分组截面</x:v>
      </x:c>
      <x:c r="L62" s="6" t="str">
        <x:v>基础工具；完整题面、参数/单位契约与真值待验证</x:v>
      </x:c>
      <x:c r="M62" s="6" t="str">
        <x:v>逐字段材料/截面数值及单位；完整支承自由度、荷载坐标与结果观测点</x:v>
      </x:c>
      <x:c r="N62" s="6" t="str">
        <x:v>独立规划骨架；可执行模型/数值真值待生成</x:v>
      </x:c>
      <x:c r="O62" s="30" t="n">
        <x:f>COUNTIFS('300题规划'!$C$2:$C$301,A62)</x:f>
        <x:v>1</x:v>
      </x:c>
      <x:c r="P62" s="5" t="str">
        <x:f>INDEX('300题规划'!$Y$2:$Y$301,MATCH(B62,'300题规划'!$A$2:$A$301,0))</x:f>
        <x:v>OpenSees</x:v>
      </x:c>
      <x:c r="Q62" s="5" t="str">
        <x:f>INDEX('300题规划'!$AB$2:$AB$301,MATCH(B62,'300题规划'!$A$2:$A$301,0))</x:f>
        <x:v>待逐题验证</x:v>
      </x:c>
    </x:row>
    <x:row r="63" ht="52.5" customHeight="1">
      <x:c r="A63" s="27" t="str">
        <x:v>M-STD-062</x:v>
      </x:c>
      <x:c r="B63" s="11" t="str">
        <x:v>STD-062</x:v>
      </x:c>
      <x:c r="C63" s="11" t="str">
        <x:v>上层退台框架</x:v>
      </x:c>
      <x:c r="D63" s="11" t="str">
        <x:v>平面钢框架</x:v>
      </x:c>
      <x:c r="E63" s="11" t="str">
        <x:v>2D</x:v>
      </x:c>
      <x:c r="F63" s="11" t="str">
        <x:v>L3</x:v>
      </x:c>
      <x:c r="G63" s="11" t="str">
        <x:v>下层两跨各6m，上层仅左跨保留，层高3.6、3.3m，各层梁10kN/m；完整属性按公共契约随题给出。 下层两跨各10kN/m，上层仅左跨10kN/m；右上层无梁无柱无荷载。 边界：全部柱脚固定。</x:v>
      </x:c>
      <x:c r="H63" s="11" t="str">
        <x:v>缺失上层右跨不能按规则网格补全</x:v>
      </x:c>
      <x:c r="I63" s="11" t="str">
        <x:v>无</x:v>
      </x:c>
      <x:c r="J63" s="11" t="str">
        <x:v>无</x:v>
      </x:c>
      <x:c r="K63" s="11" t="str">
        <x:v>平面下层两跨上层仅左一跨退台钢框架；全部柱脚固定；全部实际梁同值竖向线载；退台空区不加载；单钢材料；梁柱分组截面</x:v>
      </x:c>
      <x:c r="L63" s="11" t="str">
        <x:v>基础工具；完整题面、参数/单位契约与真值待验证</x:v>
      </x:c>
      <x:c r="M63" s="11" t="str">
        <x:v>逐字段材料/截面数值及单位；完整支承自由度、荷载坐标与结果观测点</x:v>
      </x:c>
      <x:c r="N63" s="11" t="str">
        <x:v>独立规划骨架；可执行模型/数值真值待生成</x:v>
      </x:c>
      <x:c r="O63" s="30" t="n">
        <x:f>COUNTIFS('300题规划'!$C$2:$C$301,A63)</x:f>
        <x:v>1</x:v>
      </x:c>
      <x:c r="P63" s="5" t="str">
        <x:f>INDEX('300题规划'!$Y$2:$Y$301,MATCH(B63,'300题规划'!$A$2:$A$301,0))</x:f>
        <x:v>OpenSees</x:v>
      </x:c>
      <x:c r="Q63" s="5" t="str">
        <x:f>INDEX('300题规划'!$AB$2:$AB$301,MATCH(B63,'300题规划'!$A$2:$A$301,0))</x:f>
        <x:v>待逐题验证</x:v>
      </x:c>
    </x:row>
    <x:row r="64" ht="54" customHeight="1">
      <x:c r="A64" s="28" t="str">
        <x:v>M-STD-063</x:v>
      </x:c>
      <x:c r="B64" s="6" t="str">
        <x:v>STD-063</x:v>
      </x:c>
      <x:c r="C64" s="6" t="str">
        <x:v>框架加一层交叉支撑</x:v>
      </x:c>
      <x:c r="D64" s="6" t="str">
        <x:v>平面钢框架</x:v>
      </x:c>
      <x:c r="E64" s="6" t="str">
        <x:v>2D</x:v>
      </x:c>
      <x:c r="F64" s="6" t="str">
        <x:v>L3</x:v>
      </x:c>
      <x:c r="G64" s="6" t="str">
        <x:v>两层单跨6m，各3.6m，第一层设两根轴力支撑，其余刚接梁柱；完整属性按公共契约随题给出。 一层两斜撑交叉不相连且两端铰接；各梁10kN/m，顶层右节点X向30kN。 边界：柱脚固定；支撑两端铰接且交叉不连接。</x:v>
      </x:c>
      <x:c r="H64" s="6" t="str">
        <x:v>梁柱与桁架杆混合类型及交叉语义</x:v>
      </x:c>
      <x:c r="I64" s="6" t="str">
        <x:v>无</x:v>
      </x:c>
      <x:c r="J64" s="6" t="str">
        <x:v>无</x:v>
      </x:c>
      <x:c r="K64" s="6" t="str">
        <x:v>平面两层单跨刚架加首层交叉斜撑；柱脚固定；支撑两端铰接且交叉不连接；梁均布竖载加顶右节点侧力；弯曲梁柱与轴力支撑混合单元</x:v>
      </x:c>
      <x:c r="L64" s="6" t="str">
        <x:v>混合单元工具链需验证；完整题面、参数/单位契约与真值待验证</x:v>
      </x:c>
      <x:c r="M64" s="6" t="str">
        <x:v>逐字段材料/截面数值及单位；完整支承自由度、荷载坐标与结果观测点</x:v>
      </x:c>
      <x:c r="N64" s="6" t="str">
        <x:v>独立规划骨架；可执行模型/数值真值待生成</x:v>
      </x:c>
      <x:c r="O64" s="30" t="n">
        <x:f>COUNTIFS('300题规划'!$C$2:$C$301,A64)</x:f>
        <x:v>1</x:v>
      </x:c>
      <x:c r="P64" s="5" t="str">
        <x:f>INDEX('300题规划'!$Y$2:$Y$301,MATCH(B64,'300题规划'!$A$2:$A$301,0))</x:f>
        <x:v>OpenSees</x:v>
      </x:c>
      <x:c r="Q64" s="5" t="str">
        <x:f>INDEX('300题规划'!$AB$2:$AB$301,MATCH(B64,'300题规划'!$A$2:$A$301,0))</x:f>
        <x:v>待逐题验证</x:v>
      </x:c>
    </x:row>
    <x:row r="65" ht="54" customHeight="1">
      <x:c r="A65" s="27" t="str">
        <x:v>M-STD-064</x:v>
      </x:c>
      <x:c r="B65" s="11" t="str">
        <x:v>STD-064</x:v>
      </x:c>
      <x:c r="C65" s="11" t="str">
        <x:v>框架楼层外挑梁</x:v>
      </x:c>
      <x:c r="D65" s="11" t="str">
        <x:v>平面钢框架</x:v>
      </x:c>
      <x:c r="E65" s="11" t="str">
        <x:v>2D</x:v>
      </x:c>
      <x:c r="F65" s="11" t="str">
        <x:v>L3</x:v>
      </x:c>
      <x:c r="G65" s="11" t="str">
        <x:v>两层各3.6m、单跨6m，两层右侧各外挑1.5m，外挑与主梁不同载荷；完整属性按公共契约随题给出。 主跨各10kN/m，两个外挑段各5kN/m；外挑根部与楼层梁柱节点刚接。 边界：柱脚固定；外挑端自由。</x:v>
      </x:c>
      <x:c r="H65" s="11" t="str">
        <x:v>悬挑连接与楼层加载区域</x:v>
      </x:c>
      <x:c r="I65" s="11" t="str">
        <x:v>无</x:v>
      </x:c>
      <x:c r="J65" s="11" t="str">
        <x:v>无</x:v>
      </x:c>
      <x:c r="K65" s="11" t="str">
        <x:v>平面两层单跨框架；两层右侧均外挑；柱脚固定；外挑端自由；主跨与外挑各自不同线载；单钢材料；梁柱分组截面</x:v>
      </x:c>
      <x:c r="L65" s="11" t="str">
        <x:v>基础工具；完整题面、参数/单位契约与真值待验证</x:v>
      </x:c>
      <x:c r="M65" s="11" t="str">
        <x:v>逐字段材料/截面数值及单位；完整支承自由度、荷载坐标与结果观测点</x:v>
      </x:c>
      <x:c r="N65" s="11" t="str">
        <x:v>独立规划骨架；可执行模型/数值真值待生成</x:v>
      </x:c>
      <x:c r="O65" s="30" t="n">
        <x:f>COUNTIFS('300题规划'!$C$2:$C$301,A65)</x:f>
        <x:v>1</x:v>
      </x:c>
      <x:c r="P65" s="5" t="str">
        <x:f>INDEX('300题规划'!$Y$2:$Y$301,MATCH(B65,'300题规划'!$A$2:$A$301,0))</x:f>
        <x:v>OpenSees</x:v>
      </x:c>
      <x:c r="Q65" s="5" t="str">
        <x:f>INDEX('300题规划'!$AB$2:$AB$301,MATCH(B65,'300题规划'!$A$2:$A$301,0))</x:f>
        <x:v>待逐题验证</x:v>
      </x:c>
    </x:row>
    <x:row r="66" ht="52.5" customHeight="1">
      <x:c r="A66" s="28" t="str">
        <x:v>M-STD-065</x:v>
      </x:c>
      <x:c r="B66" s="6" t="str">
        <x:v>STD-065</x:v>
      </x:c>
      <x:c r="C66" s="6" t="str">
        <x:v>楼层荷载不等的三层框架</x:v>
      </x:c>
      <x:c r="D66" s="6" t="str">
        <x:v>平面钢框架</x:v>
      </x:c>
      <x:c r="E66" s="6" t="str">
        <x:v>2D</x:v>
      </x:c>
      <x:c r="F66" s="6" t="str">
        <x:v>L2</x:v>
      </x:c>
      <x:c r="G66" s="6" t="str">
        <x:v>三层各3.3m，两跨5m，逐层线载12、10、6kN/m；完整属性按公共契约随题给出。 从底到顶梁载12/10/6kN/m，各层两跨一致，柱脚固定。 边界：全部柱脚固定。</x:v>
      </x:c>
      <x:c r="H66" s="6" t="str">
        <x:v>不得把第一层荷载复制全楼</x:v>
      </x:c>
      <x:c r="I66" s="6" t="str">
        <x:v>无</x:v>
      </x:c>
      <x:c r="J66" s="6" t="str">
        <x:v>无</x:v>
      </x:c>
      <x:c r="K66" s="6" t="str">
        <x:v>平面三层两等跨钢框架；全部柱脚固定；一至三层分别不同梁线载；无侧力；单钢材料；梁柱分组截面</x:v>
      </x:c>
      <x:c r="L66" s="6" t="str">
        <x:v>基础工具；完整题面、参数/单位契约与真值待验证</x:v>
      </x:c>
      <x:c r="M66" s="6" t="str">
        <x:v>逐字段材料/截面数值及单位；完整支承自由度、荷载坐标与结果观测点</x:v>
      </x:c>
      <x:c r="N66" s="6" t="str">
        <x:v>独立规划骨架；可执行模型/数值真值待生成</x:v>
      </x:c>
      <x:c r="O66" s="30" t="n">
        <x:f>COUNTIFS('300题规划'!$C$2:$C$301,A66)</x:f>
        <x:v>1</x:v>
      </x:c>
      <x:c r="P66" s="5" t="str">
        <x:f>INDEX('300题规划'!$Y$2:$Y$301,MATCH(B66,'300题规划'!$A$2:$A$301,0))</x:f>
        <x:v>OpenSees</x:v>
      </x:c>
      <x:c r="Q66" s="5" t="str">
        <x:f>INDEX('300题规划'!$AB$2:$AB$301,MATCH(B66,'300题规划'!$A$2:$A$301,0))</x:f>
        <x:v>待逐题验证</x:v>
      </x:c>
    </x:row>
    <x:row r="67" ht="54" customHeight="1">
      <x:c r="A67" s="27" t="str">
        <x:v>M-STD-066</x:v>
      </x:c>
      <x:c r="B67" s="11" t="str">
        <x:v>STD-066</x:v>
      </x:c>
      <x:c r="C67" s="11" t="str">
        <x:v>梁柱截面表交叉映射</x:v>
      </x:c>
      <x:c r="D67" s="11" t="str">
        <x:v>平面钢框架</x:v>
      </x:c>
      <x:c r="E67" s="11" t="str">
        <x:v>2D</x:v>
      </x:c>
      <x:c r="F67" s="11" t="str">
        <x:v>L3</x:v>
      </x:c>
      <x:c r="G67" s="11" t="str">
        <x:v>两层两跨6m，边柱中柱两类截面，左梁右梁两类截面，侧载与竖载；完整属性按公共契约随题给出。 层高各3.6m，边柱C1中柱C2，左梁B1右梁B2；所有梁8kN/m，顶层右节点X向25kN。 边界：全部柱脚固定。</x:v>
      </x:c>
      <x:c r="H67" s="11" t="str">
        <x:v>成员组和属性表对应关系</x:v>
      </x:c>
      <x:c r="I67" s="11" t="str">
        <x:v>无</x:v>
      </x:c>
      <x:c r="J67" s="11" t="str">
        <x:v>无</x:v>
      </x:c>
      <x:c r="K67" s="11" t="str">
        <x:v>平面两层两等跨钢框架；全部柱脚固定；各梁均布竖载加顶右侧力；边柱/中柱/左梁/右梁四截面组</x:v>
      </x:c>
      <x:c r="L67" s="11" t="str">
        <x:v>基础工具；完整题面、参数/单位契约与真值待验证</x:v>
      </x:c>
      <x:c r="M67" s="11" t="str">
        <x:v>逐字段材料/截面数值及单位；完整支承自由度、荷载坐标与结果观测点</x:v>
      </x:c>
      <x:c r="N67" s="11" t="str">
        <x:v>独立规划骨架；可执行模型/数值真值待生成</x:v>
      </x:c>
      <x:c r="O67" s="30" t="n">
        <x:f>COUNTIFS('300题规划'!$C$2:$C$301,A67)</x:f>
        <x:v>1</x:v>
      </x:c>
      <x:c r="P67" s="5" t="str">
        <x:f>INDEX('300题规划'!$Y$2:$Y$301,MATCH(B67,'300题规划'!$A$2:$A$301,0))</x:f>
        <x:v>OpenSees</x:v>
      </x:c>
      <x:c r="Q67" s="5" t="str">
        <x:f>INDEX('300题规划'!$AB$2:$AB$301,MATCH(B67,'300题规划'!$A$2:$A$301,0))</x:f>
        <x:v>待逐题验证</x:v>
      </x:c>
    </x:row>
    <x:row r="68" ht="54" customHeight="1">
      <x:c r="A68" s="28" t="str">
        <x:v>M-STD-067</x:v>
      </x:c>
      <x:c r="B68" s="6" t="str">
        <x:v>STD-067</x:v>
      </x:c>
      <x:c r="C68" s="6" t="str">
        <x:v>上层跨越局部空缺柱线</x:v>
      </x:c>
      <x:c r="D68" s="6" t="str">
        <x:v>平面钢框架</x:v>
      </x:c>
      <x:c r="E68" s="6" t="str">
        <x:v>2D</x:v>
      </x:c>
      <x:c r="F68" s="6" t="str">
        <x:v>L3</x:v>
      </x:c>
      <x:c r="G68" s="6" t="str">
        <x:v>两层两跨5m，下层中柱保留，上层中柱取消且上层梁按连续梁明确建模；完整属性按公共契约随题给出。 层高均3.6m，上层中柱缺失；上层梁x=5m仍为无支承连续节点，所有梁10kN/m。 边界：全部现有底柱固定；缺柱节点无额外约束。</x:v>
      </x:c>
      <x:c r="H68" s="6" t="str">
        <x:v>按实际连接表处理非规则柱线</x:v>
      </x:c>
      <x:c r="I68" s="6" t="str">
        <x:v>无</x:v>
      </x:c>
      <x:c r="J68" s="6" t="str">
        <x:v>无</x:v>
      </x:c>
      <x:c r="K68" s="6" t="str">
        <x:v>平面两层两跨；上层中柱缺失但顶梁连续；全部现有底柱固定；缺柱节点无额外约束；所有实际梁同值竖向线载；单钢材料；梁柱分组截面</x:v>
      </x:c>
      <x:c r="L68" s="6" t="str">
        <x:v>机构与连通性需独立验证；完整题面、参数/单位契约与真值待验证</x:v>
      </x:c>
      <x:c r="M68" s="6" t="str">
        <x:v>逐字段材料/截面数值及单位；完整支承自由度、荷载坐标与结果观测点</x:v>
      </x:c>
      <x:c r="N68" s="6" t="str">
        <x:v>独立规划骨架；可执行模型/数值真值待生成</x:v>
      </x:c>
      <x:c r="O68" s="30" t="n">
        <x:f>COUNTIFS('300题规划'!$C$2:$C$301,A68)</x:f>
        <x:v>1</x:v>
      </x:c>
      <x:c r="P68" s="5" t="str">
        <x:f>INDEX('300题规划'!$Y$2:$Y$301,MATCH(B68,'300题规划'!$A$2:$A$301,0))</x:f>
        <x:v>OpenSees</x:v>
      </x:c>
      <x:c r="Q68" s="5" t="str">
        <x:f>INDEX('300题规划'!$AB$2:$AB$301,MATCH(B68,'300题规划'!$A$2:$A$301,0))</x:f>
        <x:v>待逐题验证</x:v>
      </x:c>
    </x:row>
    <x:row r="69" ht="54" customHeight="1">
      <x:c r="A69" s="27" t="str">
        <x:v>M-STD-068</x:v>
      </x:c>
      <x:c r="B69" s="11" t="str">
        <x:v>STD-068</x:v>
      </x:c>
      <x:c r="C69" s="11" t="str">
        <x:v>负基底标高与地面连系梁框架</x:v>
      </x:c>
      <x:c r="D69" s="11" t="str">
        <x:v>平面钢框架</x:v>
      </x:c>
      <x:c r="E69" s="11" t="str">
        <x:v>2D</x:v>
      </x:c>
      <x:c r="F69" s="11" t="str">
        <x:v>L2</x:v>
      </x:c>
      <x:c r="G69" s="11" t="str">
        <x:v>单跨6m钢框架，柱底z=-1.5m固定，两个上部楼层z=2.1m和5.7m；另在z=0设全跨刚接地面连系梁，连系梁无外载。仅两个上部楼层梁各向下10kN/m，所有节点/截面按表。 边界：两个负标高柱脚固定；地面节点无额外支座。</x:v>
      </x:c>
      <x:c r="H69" s="11" t="str">
        <x:v>负绝对标高合法，地面连系梁接入柱线且无新增地基约束，加载只在上部两层</x:v>
      </x:c>
      <x:c r="I69" s="11" t="str">
        <x:v>无</x:v>
      </x:c>
      <x:c r="J69" s="11" t="str">
        <x:v>无</x:v>
      </x:c>
      <x:c r="K69" s="11" t="str">
        <x:v>负标高基底单跨框架；地面连系梁加两上部楼层梁；两个负标高柱脚固定；地面节点无额外支座；上部两层梁同值竖载；地面连系梁无外载；单钢材料；连系梁与楼层梁截面明列</x:v>
      </x:c>
      <x:c r="L69" s="11" t="str">
        <x:v>基础工具；完整题面、参数/单位契约与真值待验证</x:v>
      </x:c>
      <x:c r="M69" s="11" t="str">
        <x:v>逐字段材料/截面数值及单位；完整支承自由度、荷载坐标与结果观测点</x:v>
      </x:c>
      <x:c r="N69" s="11" t="str">
        <x:v>独立规划骨架；可执行模型/数值真值待生成</x:v>
      </x:c>
      <x:c r="O69" s="30" t="n">
        <x:f>COUNTIFS('300题规划'!$C$2:$C$301,A69)</x:f>
        <x:v>1</x:v>
      </x:c>
      <x:c r="P69" s="5" t="str">
        <x:f>INDEX('300题规划'!$Y$2:$Y$301,MATCH(B69,'300题规划'!$A$2:$A$301,0))</x:f>
        <x:v>OpenSees</x:v>
      </x:c>
      <x:c r="Q69" s="5" t="str">
        <x:f>INDEX('300题规划'!$AB$2:$AB$301,MATCH(B69,'300题规划'!$A$2:$A$301,0))</x:f>
        <x:v>待逐题验证</x:v>
      </x:c>
    </x:row>
    <x:row r="70" ht="52.5" customHeight="1">
      <x:c r="A70" s="28" t="str">
        <x:v>M-STD-069</x:v>
      </x:c>
      <x:c r="B70" s="6" t="str">
        <x:v>STD-069</x:v>
      </x:c>
      <x:c r="C70" s="6" t="str">
        <x:v>两层混凝土框架铰固混合柱脚</x:v>
      </x:c>
      <x:c r="D70" s="6" t="str">
        <x:v>平面混凝土框架</x:v>
      </x:c>
      <x:c r="E70" s="6" t="str">
        <x:v>2D</x:v>
      </x:c>
      <x:c r="F70" s="6" t="str">
        <x:v>L2</x:v>
      </x:c>
      <x:c r="G70" s="6" t="str">
        <x:v>两层各3.6m、单跨6m的C30框架；左柱脚铰支、右柱脚固定，柱500×500mm、梁300×600mm；各梁仅施加向下72kN/m线载。完整弹性属性和单位按公共契约给出。 边界：左柱脚铰支右柱脚固定。</x:v>
      </x:c>
      <x:c r="H70" s="6" t="str">
        <x:v>左右柱脚约束不同，梁柱截面角色和线载一次施加正确</x:v>
      </x:c>
      <x:c r="I70" s="6" t="str">
        <x:v>concrete-frame-2story-static</x:v>
      </x:c>
      <x:c r="J70" s="6" t="str">
        <x:v>concrete-frame-2s1b-6m-12k</x:v>
      </x:c>
      <x:c r="K70" s="6" t="str">
        <x:v>平面两层单跨混凝土框架；左柱脚铰支右柱脚固定；两层同值梁线载；面载已折算；C30材料；混凝土梁柱分组截面</x:v>
      </x:c>
      <x:c r="L70" s="6" t="str">
        <x:v>基础工具；完整题面、参数/单位契约与真值待验证</x:v>
      </x:c>
      <x:c r="M70" s="6" t="str">
        <x:v>逐字段材料/截面数值及单位；完整支承自由度、荷载坐标与结果观测点</x:v>
      </x:c>
      <x:c r="N70" s="6" t="str">
        <x:v>独立规划骨架；可执行模型/数值真值待生成</x:v>
      </x:c>
      <x:c r="O70" s="30" t="n">
        <x:f>COUNTIFS('300题规划'!$C$2:$C$301,A70)</x:f>
        <x:v>1</x:v>
      </x:c>
      <x:c r="P70" s="5" t="str">
        <x:f>INDEX('300题规划'!$Y$2:$Y$301,MATCH(B70,'300题规划'!$A$2:$A$301,0))</x:f>
        <x:v>OpenSees</x:v>
      </x:c>
      <x:c r="Q70" s="5" t="str">
        <x:f>INDEX('300题规划'!$AB$2:$AB$301,MATCH(B70,'300题规划'!$A$2:$A$301,0))</x:f>
        <x:v>待逐题验证</x:v>
      </x:c>
    </x:row>
    <x:row r="71" ht="54" customHeight="1">
      <x:c r="A71" s="27" t="str">
        <x:v>M-STD-070</x:v>
      </x:c>
      <x:c r="B71" s="11" t="str">
        <x:v>STD-070</x:v>
      </x:c>
      <x:c r="C71" s="11" t="str">
        <x:v>三层C35框架</x:v>
      </x:c>
      <x:c r="D71" s="11" t="str">
        <x:v>平面混凝土框架</x:v>
      </x:c>
      <x:c r="E71" s="11" t="str">
        <x:v>2D</x:v>
      </x:c>
      <x:c r="F71" s="11" t="str">
        <x:v>L2</x:v>
      </x:c>
      <x:c r="G71" s="11" t="str">
        <x:v>三层各3.3m、单跨6m，柱500×500、梁300×600mm，梁线载60kN/m；完整属性按公共契约随题给出。 各梁60kN/m，柱500×500和梁300×600mm按不同截面组；不进行配筋或承载力推断。 边界：全部柱脚固定。</x:v>
      </x:c>
      <x:c r="H71" s="11" t="str">
        <x:v>层数与面载折算只施加一次</x:v>
      </x:c>
      <x:c r="I71" s="11" t="str">
        <x:v>concrete-frame-3story-opensees-static-en</x:v>
      </x:c>
      <x:c r="J71" s="11" t="str">
        <x:v>concrete-frame-3s1b-6m-10k</x:v>
      </x:c>
      <x:c r="K71" s="11" t="str">
        <x:v>平面三层单跨混凝土框架；全部柱脚固定；三层同值梁线载；面载已折算；C35材料；混凝土梁柱分组截面</x:v>
      </x:c>
      <x:c r="L71" s="11" t="str">
        <x:v>基础工具；完整题面、参数/单位契约与真值待验证</x:v>
      </x:c>
      <x:c r="M71" s="11" t="str">
        <x:v>逐字段材料/截面数值及单位；完整支承自由度、荷载坐标与结果观测点</x:v>
      </x:c>
      <x:c r="N71" s="11" t="str">
        <x:v>独立规划骨架；可执行模型/数值真值待生成</x:v>
      </x:c>
      <x:c r="O71" s="30" t="n">
        <x:f>COUNTIFS('300题规划'!$C$2:$C$301,A71)</x:f>
        <x:v>1</x:v>
      </x:c>
      <x:c r="P71" s="5" t="str">
        <x:f>INDEX('300题规划'!$Y$2:$Y$301,MATCH(B71,'300题规划'!$A$2:$A$301,0))</x:f>
        <x:v>OpenSees</x:v>
      </x:c>
      <x:c r="Q71" s="5" t="str">
        <x:f>INDEX('300题规划'!$AB$2:$AB$301,MATCH(B71,'300题规划'!$A$2:$A$301,0))</x:f>
        <x:v>待逐题验证</x:v>
      </x:c>
    </x:row>
    <x:row r="72" ht="54" customHeight="1">
      <x:c r="A72" s="28" t="str">
        <x:v>M-STD-071</x:v>
      </x:c>
      <x:c r="B72" s="6" t="str">
        <x:v>STD-071</x:v>
      </x:c>
      <x:c r="C72" s="6" t="str">
        <x:v>两层两跨材料修订基准</x:v>
      </x:c>
      <x:c r="D72" s="6" t="str">
        <x:v>平面混凝土框架</x:v>
      </x:c>
      <x:c r="E72" s="6" t="str">
        <x:v>2D</x:v>
      </x:c>
      <x:c r="F72" s="6" t="str">
        <x:v>L2</x:v>
      </x:c>
      <x:c r="G72" s="6" t="str">
        <x:v>两层各3.6m、两跨6m，C30、柱500×500、梁300×600mm，各梁10kN/m；完整属性按公共契约随题给出。 取旧更新题第一轮C30完整模型，仅做一次分析；不执行后续C40更新。 边界：全部柱脚固定。</x:v>
      </x:c>
      <x:c r="H72" s="6" t="str">
        <x:v>保留材料等级与实际E值关联</x:v>
      </x:c>
      <x:c r="I72" s="6" t="str">
        <x:v>robust-update-concrete-material</x:v>
      </x:c>
      <x:c r="J72" s="6" t="str">
        <x:v>concrete-frame-2s2b-6m-10k-c30；concrete-frame-2s2b-6m-10k-c40</x:v>
      </x:c>
      <x:c r="K72" s="6" t="str">
        <x:v>平面两层两等跨混凝土框架；全部柱脚固定；两层全部梁同值线载；C30材料；混凝土梁柱分组截面</x:v>
      </x:c>
      <x:c r="L72" s="6" t="str">
        <x:v>基础工具；完整题面、参数/单位契约与真值待验证</x:v>
      </x:c>
      <x:c r="M72" s="6" t="str">
        <x:v>逐字段材料/截面数值及单位；完整支承自由度、荷载坐标与结果观测点</x:v>
      </x:c>
      <x:c r="N72" s="6" t="str">
        <x:v>独立规划骨架；可执行模型/数值真值待生成</x:v>
      </x:c>
      <x:c r="O72" s="30" t="n">
        <x:f>COUNTIFS('300题规划'!$C$2:$C$301,A72)</x:f>
        <x:v>1</x:v>
      </x:c>
      <x:c r="P72" s="5" t="str">
        <x:f>INDEX('300题规划'!$Y$2:$Y$301,MATCH(B72,'300题规划'!$A$2:$A$301,0))</x:f>
        <x:v>OpenSees</x:v>
      </x:c>
      <x:c r="Q72" s="5" t="str">
        <x:f>INDEX('300题规划'!$AB$2:$AB$301,MATCH(B72,'300题规划'!$A$2:$A$301,0))</x:f>
        <x:v>待逐题验证</x:v>
      </x:c>
    </x:row>
    <x:row r="73" ht="52.5" customHeight="1">
      <x:c r="A73" s="27" t="str">
        <x:v>M-STD-072</x:v>
      </x:c>
      <x:c r="B73" s="11" t="str">
        <x:v>STD-072</x:v>
      </x:c>
      <x:c r="C73" s="11" t="str">
        <x:v>不等层高混凝土框架</x:v>
      </x:c>
      <x:c r="D73" s="11" t="str">
        <x:v>平面混凝土框架</x:v>
      </x:c>
      <x:c r="E73" s="11" t="str">
        <x:v>2D</x:v>
      </x:c>
      <x:c r="F73" s="11" t="str">
        <x:v>L2</x:v>
      </x:c>
      <x:c r="G73" s="11" t="str">
        <x:v>三层3.3、4.0、3.1m，两跨5、7m，所有柱脚固定；完整属性按公共契约随题给出。 层高3.3/4.0/3.1m，对应标高3.3/7.3/10.4m；各梁依层取12/10/8kN/m。 边界：全部柱脚固定。</x:v>
      </x:c>
      <x:c r="H73" s="11" t="str">
        <x:v>楼层标高和各跨连接</x:v>
      </x:c>
      <x:c r="I73" s="11" t="str">
        <x:v>无</x:v>
      </x:c>
      <x:c r="J73" s="11" t="str">
        <x:v>无</x:v>
      </x:c>
      <x:c r="K73" s="11" t="str">
        <x:v>平面三层两不等跨；三层层高不同；全部柱脚固定；三层分别递减梁线载；混凝土材料；梁柱分组截面</x:v>
      </x:c>
      <x:c r="L73" s="11" t="str">
        <x:v>基础工具；完整题面、参数/单位契约与真值待验证</x:v>
      </x:c>
      <x:c r="M73" s="11" t="str">
        <x:v>逐字段材料/截面数值及单位；完整支承自由度、荷载坐标与结果观测点</x:v>
      </x:c>
      <x:c r="N73" s="11" t="str">
        <x:v>独立规划骨架；可执行模型/数值真值待生成</x:v>
      </x:c>
      <x:c r="O73" s="30" t="n">
        <x:f>COUNTIFS('300题规划'!$C$2:$C$301,A73)</x:f>
        <x:v>1</x:v>
      </x:c>
      <x:c r="P73" s="5" t="str">
        <x:f>INDEX('300题规划'!$Y$2:$Y$301,MATCH(B73,'300题规划'!$A$2:$A$301,0))</x:f>
        <x:v>OpenSees</x:v>
      </x:c>
      <x:c r="Q73" s="5" t="str">
        <x:f>INDEX('300题规划'!$AB$2:$AB$301,MATCH(B73,'300题规划'!$A$2:$A$301,0))</x:f>
        <x:v>待逐题验证</x:v>
      </x:c>
    </x:row>
    <x:row r="74" ht="54" customHeight="1">
      <x:c r="A74" s="28" t="str">
        <x:v>M-STD-073</x:v>
      </x:c>
      <x:c r="B74" s="6" t="str">
        <x:v>STD-073</x:v>
      </x:c>
      <x:c r="C74" s="6" t="str">
        <x:v>梁柱采用不同混凝土等级</x:v>
      </x:c>
      <x:c r="D74" s="6" t="str">
        <x:v>平面混凝土框架</x:v>
      </x:c>
      <x:c r="E74" s="6" t="str">
        <x:v>2D</x:v>
      </x:c>
      <x:c r="F74" s="6" t="str">
        <x:v>L3</x:v>
      </x:c>
      <x:c r="G74" s="6" t="str">
        <x:v>两层各3.6m、两跨各6m，柱C40梁C30，给定各自完整弹性属性，不做非线性；完整属性按公共契约随题给出。 柱C40、梁C30且各自E/ν已给；所有梁10kN/m，顶层右节点X向20kN。 边界：全部柱脚固定。</x:v>
      </x:c>
      <x:c r="H74" s="6" t="str">
        <x:v>按构件角色分配材料而非全局覆盖</x:v>
      </x:c>
      <x:c r="I74" s="6" t="str">
        <x:v>无</x:v>
      </x:c>
      <x:c r="J74" s="6" t="str">
        <x:v>无</x:v>
      </x:c>
      <x:c r="K74" s="6" t="str">
        <x:v>平面两层两等跨混凝土框架；全部柱脚固定；均布梁载加顶右节点侧力；柱C40梁C30；按角色材料与截面</x:v>
      </x:c>
      <x:c r="L74" s="6" t="str">
        <x:v>基础工具；完整题面、参数/单位契约与真值待验证</x:v>
      </x:c>
      <x:c r="M74" s="6" t="str">
        <x:v>逐字段材料/截面数值及单位；完整支承自由度、荷载坐标与结果观测点</x:v>
      </x:c>
      <x:c r="N74" s="6" t="str">
        <x:v>独立规划骨架；可执行模型/数值真值待生成</x:v>
      </x:c>
      <x:c r="O74" s="30" t="n">
        <x:f>COUNTIFS('300题规划'!$C$2:$C$301,A74)</x:f>
        <x:v>1</x:v>
      </x:c>
      <x:c r="P74" s="5" t="str">
        <x:f>INDEX('300题规划'!$Y$2:$Y$301,MATCH(B74,'300题规划'!$A$2:$A$301,0))</x:f>
        <x:v>OpenSees</x:v>
      </x:c>
      <x:c r="Q74" s="5" t="str">
        <x:f>INDEX('300题规划'!$AB$2:$AB$301,MATCH(B74,'300题规划'!$A$2:$A$301,0))</x:f>
        <x:v>待逐题验证</x:v>
      </x:c>
    </x:row>
    <x:row r="75" ht="54" customHeight="1">
      <x:c r="A75" s="27" t="str">
        <x:v>M-STD-074</x:v>
      </x:c>
      <x:c r="B75" s="11" t="str">
        <x:v>STD-074</x:v>
      </x:c>
      <x:c r="C75" s="11" t="str">
        <x:v>矩形柱不同截面方向</x:v>
      </x:c>
      <x:c r="D75" s="11" t="str">
        <x:v>平面混凝土框架</x:v>
      </x:c>
      <x:c r="E75" s="11" t="str">
        <x:v>2D</x:v>
      </x:c>
      <x:c r="F75" s="11" t="str">
        <x:v>L3</x:v>
      </x:c>
      <x:c r="G75" s="11" t="str">
        <x:v>两层单跨7m，左右矩形柱强弱轴安排不同，完整惯性矩与局部轴显式提供；完整属性按公共契约随题给出。 两层均3.6m，各梁10kN/m，顶层右节点X向20kN；左右柱局部轴和惯性矩明列。 边界：全部柱脚固定。</x:v>
      </x:c>
      <x:c r="H75" s="11" t="str">
        <x:v>矩形尺寸次序与实际弯曲刚度</x:v>
      </x:c>
      <x:c r="I75" s="11" t="str">
        <x:v>无</x:v>
      </x:c>
      <x:c r="J75" s="11" t="str">
        <x:v>无</x:v>
      </x:c>
      <x:c r="K75" s="11" t="str">
        <x:v>平面两层单跨矩形柱混凝土框架；全部柱脚固定；两层梁线载加顶右节点侧力；左右柱局部轴不同；强弱轴惯性矩明确</x:v>
      </x:c>
      <x:c r="L75" s="11" t="str">
        <x:v>局部轴输入与适配需验证；完整题面、参数/单位契约与真值待验证</x:v>
      </x:c>
      <x:c r="M75" s="11" t="str">
        <x:v>逐字段材料/截面数值及单位；完整支承自由度、荷载坐标与结果观测点</x:v>
      </x:c>
      <x:c r="N75" s="11" t="str">
        <x:v>独立规划骨架；可执行模型/数值真值待生成</x:v>
      </x:c>
      <x:c r="O75" s="30" t="n">
        <x:f>COUNTIFS('300题规划'!$C$2:$C$301,A75)</x:f>
        <x:v>1</x:v>
      </x:c>
      <x:c r="P75" s="5" t="str">
        <x:f>INDEX('300题规划'!$Y$2:$Y$301,MATCH(B75,'300题规划'!$A$2:$A$301,0))</x:f>
        <x:v>OpenSees</x:v>
      </x:c>
      <x:c r="Q75" s="5" t="str">
        <x:f>INDEX('300题规划'!$AB$2:$AB$301,MATCH(B75,'300题规划'!$A$2:$A$301,0))</x:f>
        <x:v>待逐题验证</x:v>
      </x:c>
    </x:row>
    <x:row r="76" ht="52.5" customHeight="1">
      <x:c r="A76" s="28" t="str">
        <x:v>M-STD-075</x:v>
      </x:c>
      <x:c r="B76" s="6" t="str">
        <x:v>STD-075</x:v>
      </x:c>
      <x:c r="C76" s="6" t="str">
        <x:v>上层单侧退台混凝土框架</x:v>
      </x:c>
      <x:c r="D76" s="6" t="str">
        <x:v>平面混凝土框架</x:v>
      </x:c>
      <x:c r="E76" s="6" t="str">
        <x:v>2D</x:v>
      </x:c>
      <x:c r="F76" s="6" t="str">
        <x:v>L3</x:v>
      </x:c>
      <x:c r="G76" s="6" t="str">
        <x:v>下层三跨5m，上层只保留左侧两跨，逐组给梁柱截面；完整属性按公共契约随题给出。 两层均3.6m；下层三跨梁12kN/m，上层左两跨梁8kN/m，未建区域不加载。 边界：全部实际底柱固定。</x:v>
      </x:c>
      <x:c r="H76" s="6" t="str">
        <x:v>退台拓扑、材料和截面联合映射</x:v>
      </x:c>
      <x:c r="I76" s="6" t="str">
        <x:v>无</x:v>
      </x:c>
      <x:c r="J76" s="6" t="str">
        <x:v>无</x:v>
      </x:c>
      <x:c r="K76" s="6" t="str">
        <x:v>平面下层三跨上层左两跨混凝土退台框架；全部实际底柱固定；下上层不同梁线载；缺失区域无载；逐构件组混凝土梁柱截面</x:v>
      </x:c>
      <x:c r="L76" s="6" t="str">
        <x:v>基础工具；完整题面、参数/单位契约与真值待验证</x:v>
      </x:c>
      <x:c r="M76" s="6" t="str">
        <x:v>逐字段材料/截面数值及单位；完整支承自由度、荷载坐标与结果观测点</x:v>
      </x:c>
      <x:c r="N76" s="6" t="str">
        <x:v>独立规划骨架；可执行模型/数值真值待生成</x:v>
      </x:c>
      <x:c r="O76" s="30" t="n">
        <x:f>COUNTIFS('300题规划'!$C$2:$C$301,A76)</x:f>
        <x:v>1</x:v>
      </x:c>
      <x:c r="P76" s="5" t="str">
        <x:f>INDEX('300题规划'!$Y$2:$Y$301,MATCH(B76,'300题规划'!$A$2:$A$301,0))</x:f>
        <x:v>OpenSees</x:v>
      </x:c>
      <x:c r="Q76" s="5" t="str">
        <x:f>INDEX('300题规划'!$AB$2:$AB$301,MATCH(B76,'300题规划'!$A$2:$A$301,0))</x:f>
        <x:v>待逐题验证</x:v>
      </x:c>
    </x:row>
    <x:row r="77" ht="52.5" customHeight="1">
      <x:c r="A77" s="27" t="str">
        <x:v>M-STD-076</x:v>
      </x:c>
      <x:c r="B77" s="11" t="str">
        <x:v>STD-076</x:v>
      </x:c>
      <x:c r="C77" s="11" t="str">
        <x:v>不同受荷宽度的两跨框架</x:v>
      </x:c>
      <x:c r="D77" s="11" t="str">
        <x:v>平面混凝土框架</x:v>
      </x:c>
      <x:c r="E77" s="11" t="str">
        <x:v>2D</x:v>
      </x:c>
      <x:c r="F77" s="11" t="str">
        <x:v>L2</x:v>
      </x:c>
      <x:c r="G77" s="11" t="str">
        <x:v>两层，跨度5、7m，左右梁受荷宽度4、6m，楼面10kN/m²；完整属性按公共契约随题给出。 两层均3.6m；左梁线载40kN/m、右梁60kN/m，只施加转换后的线载。 边界：全部柱脚固定。</x:v>
      </x:c>
      <x:c r="H77" s="11" t="str">
        <x:v>每跨独立折算且不可重复加面载</x:v>
      </x:c>
      <x:c r="I77" s="11" t="str">
        <x:v>无</x:v>
      </x:c>
      <x:c r="J77" s="11" t="str">
        <x:v>无</x:v>
      </x:c>
      <x:c r="K77" s="11" t="str">
        <x:v>平面两层两不等跨混凝土框架；全部柱脚固定；同面载按左右不同受荷宽度分别折算；混凝土材料；梁柱分组截面</x:v>
      </x:c>
      <x:c r="L77" s="11" t="str">
        <x:v>基础工具；完整题面、参数/单位契约与真值待验证</x:v>
      </x:c>
      <x:c r="M77" s="11" t="str">
        <x:v>逐字段材料/截面数值及单位；完整支承自由度、荷载坐标与结果观测点；受荷宽度/分配规则逐梁列明</x:v>
      </x:c>
      <x:c r="N77" s="11" t="str">
        <x:v>独立规划骨架；可执行模型/数值真值待生成</x:v>
      </x:c>
      <x:c r="O77" s="30" t="n">
        <x:f>COUNTIFS('300题规划'!$C$2:$C$301,A77)</x:f>
        <x:v>1</x:v>
      </x:c>
      <x:c r="P77" s="5" t="str">
        <x:f>INDEX('300题规划'!$Y$2:$Y$301,MATCH(B77,'300题规划'!$A$2:$A$301,0))</x:f>
        <x:v>OpenSees</x:v>
      </x:c>
      <x:c r="Q77" s="5" t="str">
        <x:f>INDEX('300题规划'!$AB$2:$AB$301,MATCH(B77,'300题规划'!$A$2:$A$301,0))</x:f>
        <x:v>待逐题验证</x:v>
      </x:c>
    </x:row>
    <x:row r="78" ht="54" customHeight="1">
      <x:c r="A78" s="28" t="str">
        <x:v>M-STD-077</x:v>
      </x:c>
      <x:c r="B78" s="6" t="str">
        <x:v>STD-077</x:v>
      </x:c>
      <x:c r="C78" s="6" t="str">
        <x:v>变截面分层混凝土框架</x:v>
      </x:c>
      <x:c r="D78" s="6" t="str">
        <x:v>平面混凝土框架</x:v>
      </x:c>
      <x:c r="E78" s="6" t="str">
        <x:v>2D</x:v>
      </x:c>
      <x:c r="F78" s="6" t="str">
        <x:v>L3</x:v>
      </x:c>
      <x:c r="G78" s="6" t="str">
        <x:v>三层两跨6m，下层柱600×600、上层500×500mm，顶层梁截面另列；完整属性按公共契约随题给出。 三层均3.3m，所有梁10kN/m；第一层柱600×600，二三层500×500，顶层梁另设B2。 边界：全部柱脚固定。</x:v>
      </x:c>
      <x:c r="H78" s="6" t="str">
        <x:v>楼层与构件组属性同步映射</x:v>
      </x:c>
      <x:c r="I78" s="6" t="str">
        <x:v>无</x:v>
      </x:c>
      <x:c r="J78" s="6" t="str">
        <x:v>无</x:v>
      </x:c>
      <x:c r="K78" s="6" t="str">
        <x:v>平面三层两等跨混凝土框架；全部柱脚固定；所有梁同值竖向线载；下层柱大截面上层柱小截面；顶梁另组</x:v>
      </x:c>
      <x:c r="L78" s="6" t="str">
        <x:v>基础工具；完整题面、参数/单位契约与真值待验证</x:v>
      </x:c>
      <x:c r="M78" s="6" t="str">
        <x:v>逐字段材料/截面数值及单位；完整支承自由度、荷载坐标与结果观测点</x:v>
      </x:c>
      <x:c r="N78" s="6" t="str">
        <x:v>独立规划骨架；可执行模型/数值真值待生成</x:v>
      </x:c>
      <x:c r="O78" s="30" t="n">
        <x:f>COUNTIFS('300题规划'!$C$2:$C$301,A78)</x:f>
        <x:v>1</x:v>
      </x:c>
      <x:c r="P78" s="5" t="str">
        <x:f>INDEX('300题规划'!$Y$2:$Y$301,MATCH(B78,'300题规划'!$A$2:$A$301,0))</x:f>
        <x:v>OpenSees</x:v>
      </x:c>
      <x:c r="Q78" s="5" t="str">
        <x:f>INDEX('300题规划'!$AB$2:$AB$301,MATCH(B78,'300题规划'!$A$2:$A$301,0))</x:f>
        <x:v>待逐题验证</x:v>
      </x:c>
    </x:row>
    <x:row r="79" ht="54" customHeight="1">
      <x:c r="A79" s="27" t="str">
        <x:v>M-STD-078</x:v>
      </x:c>
      <x:c r="B79" s="11" t="str">
        <x:v>STD-078</x:v>
      </x:c>
      <x:c r="C79" s="11" t="str">
        <x:v>重力与反向侧力混凝土框架</x:v>
      </x:c>
      <x:c r="D79" s="11" t="str">
        <x:v>平面混凝土框架</x:v>
      </x:c>
      <x:c r="E79" s="11" t="str">
        <x:v>2D</x:v>
      </x:c>
      <x:c r="F79" s="11" t="str">
        <x:v>L3</x:v>
      </x:c>
      <x:c r="G79" s="11" t="str">
        <x:v>三层单跨6m，D各层不同，W+与W-独立，题定三组组合；完整属性按公共契约随题给出。 三层均3.3m，D各层12/10/8kN/m；W+右侧各层X向10/15/20kN，W-相反；C0=D、C±=D+W±。 边界：全部柱脚固定。</x:v>
      </x:c>
      <x:c r="H79" s="11" t="str">
        <x:v>正反向工况不能被绝对值化</x:v>
      </x:c>
      <x:c r="I79" s="11" t="str">
        <x:v>无</x:v>
      </x:c>
      <x:c r="J79" s="11" t="str">
        <x:v>无</x:v>
      </x:c>
      <x:c r="K79" s="11" t="str">
        <x:v>平面三层单跨混凝土框架；全部柱脚固定；D分层不同；W+与W-逐层侧力；三组合；混凝土材料；梁柱分组截面</x:v>
      </x:c>
      <x:c r="L79" s="11" t="str">
        <x:v>多组合执行契约需验证；完整题面、参数/单位契约与真值待验证</x:v>
      </x:c>
      <x:c r="M79" s="11" t="str">
        <x:v>逐字段材料/截面数值及单位；完整支承自由度、荷载坐标与结果观测点；完整工况/组合系数表</x:v>
      </x:c>
      <x:c r="N79" s="11" t="str">
        <x:v>独立规划骨架；可执行模型/数值真值待生成</x:v>
      </x:c>
      <x:c r="O79" s="30" t="n">
        <x:f>COUNTIFS('300题规划'!$C$2:$C$301,A79)</x:f>
        <x:v>1</x:v>
      </x:c>
      <x:c r="P79" s="5" t="str">
        <x:f>INDEX('300题规划'!$Y$2:$Y$301,MATCH(B79,'300题规划'!$A$2:$A$301,0))</x:f>
        <x:v>OpenSees</x:v>
      </x:c>
      <x:c r="Q79" s="5" t="str">
        <x:f>INDEX('300题规划'!$AB$2:$AB$301,MATCH(B79,'300题规划'!$A$2:$A$301,0))</x:f>
        <x:v>待逐题验证</x:v>
      </x:c>
    </x:row>
    <x:row r="80" ht="54" customHeight="1">
      <x:c r="A80" s="28" t="str">
        <x:v>M-STD-079</x:v>
      </x:c>
      <x:c r="B80" s="6" t="str">
        <x:v>STD-079</x:v>
      </x:c>
      <x:c r="C80" s="6" t="str">
        <x:v>两层单跨双向空间钢框架</x:v>
      </x:c>
      <x:c r="D80" s="6" t="str">
        <x:v>空间框架</x:v>
      </x:c>
      <x:c r="E80" s="6" t="str">
        <x:v>3D</x:v>
      </x:c>
      <x:c r="F80" s="6" t="str">
        <x:v>L2</x:v>
      </x:c>
      <x:c r="G80" s="6" t="str">
        <x:v>X向6m一跨、Y向5m一跨、两层各3.6m，每层10kN/m²；完整属性按公共契约随题给出。 楼面单向传给X梁，按Y向半跨受荷宽度：每根X梁25kN/m；Y梁不重复加载，不加刚性楼板。 边界：全部柱脚六自由度固定；无刚性楼板。</x:v>
      </x:c>
      <x:c r="H80" s="6" t="str">
        <x:v>两个水平轴与真实空间连接</x:v>
      </x:c>
      <x:c r="I80" s="6" t="str">
        <x:v>std-frame3d-simple-gt</x:v>
      </x:c>
      <x:c r="J80" s="6" t="str">
        <x:v>frame3d-simple</x:v>
      </x:c>
      <x:c r="K80" s="6" t="str">
        <x:v>空间两层X一跨Y一跨钢框架；全部柱脚六自由度固定；无刚性楼板；每层同面载单向分配给X梁；Y梁不重复载；单钢材料；梁柱分组截面及局部轴</x:v>
      </x:c>
      <x:c r="L80" s="6" t="str">
        <x:v>基础工具；完整题面、参数/单位契约与真值待验证；单向楼面到X梁的显式分配与空间数值真值待验证</x:v>
      </x:c>
      <x:c r="M80" s="6" t="str">
        <x:v>逐字段材料/截面数值及单位；完整支承自由度、荷载坐标与结果观测点；局部轴和三向荷载约定；受荷宽度/分配规则逐梁列明</x:v>
      </x:c>
      <x:c r="N80" s="6" t="str">
        <x:v>独立规划骨架；可执行模型/数值真值待生成</x:v>
      </x:c>
      <x:c r="O80" s="30" t="n">
        <x:f>COUNTIFS('300题规划'!$C$2:$C$301,A80)</x:f>
        <x:v>1</x:v>
      </x:c>
      <x:c r="P80" s="5" t="str">
        <x:f>INDEX('300题规划'!$Y$2:$Y$301,MATCH(B80,'300题规划'!$A$2:$A$301,0))</x:f>
        <x:v>OpenSees</x:v>
      </x:c>
      <x:c r="Q80" s="5" t="str">
        <x:f>INDEX('300题规划'!$AB$2:$AB$301,MATCH(B80,'300题规划'!$A$2:$A$301,0))</x:f>
        <x:v>待逐题验证</x:v>
      </x:c>
    </x:row>
    <x:row r="81" ht="54" customHeight="1">
      <x:c r="A81" s="27" t="str">
        <x:v>M-STD-080</x:v>
      </x:c>
      <x:c r="B81" s="11" t="str">
        <x:v>STD-080</x:v>
      </x:c>
      <x:c r="C81" s="11" t="str">
        <x:v>两层2乘1跨空间钢框架</x:v>
      </x:c>
      <x:c r="D81" s="11" t="str">
        <x:v>空间框架</x:v>
      </x:c>
      <x:c r="E81" s="11" t="str">
        <x:v>3D</x:v>
      </x:c>
      <x:c r="F81" s="11" t="str">
        <x:v>L2</x:v>
      </x:c>
      <x:c r="G81" s="11" t="str">
        <x:v>X向6+6m、Y向5m，两层3.6m，楼面8kN/m²；完整属性按公共契约随题给出。 拟用 PKPM 原生计算；单向传给X梁，每根X梁20kN/m，Y梁不重复加载，不加刚性楼板。 边界：全部柱脚六自由度固定；无刚性楼板。</x:v>
      </x:c>
      <x:c r="H81" s="11" t="str">
        <x:v>X/Y跨数不同及楼面作用</x:v>
      </x:c>
      <x:c r="I81" s="11" t="str">
        <x:v>frame-3d-2story-2bayx-1bayy</x:v>
      </x:c>
      <x:c r="J81" s="11" t="str">
        <x:v>frame3d-steel-2s-2x1y-8k</x:v>
      </x:c>
      <x:c r="K81" s="11" t="str">
        <x:v>空间两层X两跨Y一跨钢框架；全部柱脚六自由度固定；无刚性楼板；每层同面载单向分配给X梁；Y梁不重复载；单钢材料；梁柱分组截面及局部轴</x:v>
      </x:c>
      <x:c r="L81" s="11" t="str">
        <x:v>按本题拟定 PKPM 独立重算并核验；完整题面、参数/单位契约与真值待验证；单向楼面到X梁的显式分配与空间数值真值待验证</x:v>
      </x:c>
      <x:c r="M81" s="11" t="str">
        <x:v>逐字段材料/截面数值及单位；完整支承自由度、荷载坐标与结果观测点；局部轴和三向荷载约定；受荷宽度/分配规则逐梁列明</x:v>
      </x:c>
      <x:c r="N81" s="11" t="str">
        <x:v>独立规划骨架；可执行模型/数值真值待生成</x:v>
      </x:c>
      <x:c r="O81" s="30" t="n">
        <x:f>COUNTIFS('300题规划'!$C$2:$C$301,A81)</x:f>
        <x:v>1</x:v>
      </x:c>
      <x:c r="P81" s="5" t="str">
        <x:f>INDEX('300题规划'!$Y$2:$Y$301,MATCH(B81,'300题规划'!$A$2:$A$301,0))</x:f>
        <x:v>PKPM</x:v>
      </x:c>
      <x:c r="Q81" s="5" t="str">
        <x:f>INDEX('300题规划'!$AB$2:$AB$301,MATCH(B81,'300题规划'!$A$2:$A$301,0))</x:f>
        <x:v>存在已知接口缺口</x:v>
      </x:c>
    </x:row>
    <x:row r="82" ht="54" customHeight="1">
      <x:c r="A82" s="28" t="str">
        <x:v>M-STD-081</x:v>
      </x:c>
      <x:c r="B82" s="6" t="str">
        <x:v>STD-081</x:v>
      </x:c>
      <x:c r="C82" s="6" t="str">
        <x:v>三层1乘2跨空间钢框架</x:v>
      </x:c>
      <x:c r="D82" s="6" t="str">
        <x:v>空间框架</x:v>
      </x:c>
      <x:c r="E82" s="6" t="str">
        <x:v>3D</x:v>
      </x:c>
      <x:c r="F82" s="6" t="str">
        <x:v>L3</x:v>
      </x:c>
      <x:c r="G82" s="6" t="str">
        <x:v>X向6m、Y向5+5m，三层3.3m，每层10kN/m²；完整属性按公共契约随题给出。 拟用 YJK 原生计算；X梁按Y轴线0/5/10m取25/50/25kN/m，Y梁不重复加载。 边界：全部柱脚六自由度固定；无刚性楼板。</x:v>
      </x:c>
      <x:c r="H82" s="6" t="str">
        <x:v>空间方向、楼层和构件映射</x:v>
      </x:c>
      <x:c r="I82" s="6" t="str">
        <x:v>frame-3d-3story-1bayx-2bayy-en</x:v>
      </x:c>
      <x:c r="J82" s="6" t="str">
        <x:v>frame3d-steel-3s-1x2y-10k</x:v>
      </x:c>
      <x:c r="K82" s="6" t="str">
        <x:v>空间三层X一跨Y两跨钢框架；全部柱脚六自由度固定；无刚性楼板；X梁按Y边/中轴线不同受荷宽度分配；单钢材料；梁柱分组截面及局部轴</x:v>
      </x:c>
      <x:c r="L82" s="6" t="str">
        <x:v>按本题拟定 YJK 独立重算并核验；完整题面、参数/单位契约与真值待验证；单向楼面到X梁的显式分配与空间数值真值待验证</x:v>
      </x:c>
      <x:c r="M82" s="6" t="str">
        <x:v>逐字段材料/截面数值及单位；完整支承自由度、荷载坐标与结果观测点；局部轴和三向荷载约定；受荷宽度/分配规则逐梁列明</x:v>
      </x:c>
      <x:c r="N82" s="6" t="str">
        <x:v>独立规划骨架；可执行模型/数值真值待生成</x:v>
      </x:c>
      <x:c r="O82" s="30" t="n">
        <x:f>COUNTIFS('300题规划'!$C$2:$C$301,A82)</x:f>
        <x:v>1</x:v>
      </x:c>
      <x:c r="P82" s="5" t="str">
        <x:f>INDEX('300题规划'!$Y$2:$Y$301,MATCH(B82,'300题规划'!$A$2:$A$301,0))</x:f>
        <x:v>YJK</x:v>
      </x:c>
      <x:c r="Q82" s="5" t="str">
        <x:f>INDEX('300题规划'!$AB$2:$AB$301,MATCH(B82,'300题规划'!$A$2:$A$301,0))</x:f>
        <x:v>存在已知接口缺口</x:v>
      </x:c>
    </x:row>
    <x:row r="83" ht="54" customHeight="1">
      <x:c r="A83" s="27" t="str">
        <x:v>M-STD-082</x:v>
      </x:c>
      <x:c r="B83" s="11" t="str">
        <x:v>STD-082</x:v>
      </x:c>
      <x:c r="C83" s="11" t="str">
        <x:v>两层2乘2跨空间钢框架</x:v>
      </x:c>
      <x:c r="D83" s="11" t="str">
        <x:v>空间框架</x:v>
      </x:c>
      <x:c r="E83" s="11" t="str">
        <x:v>3D</x:v>
      </x:c>
      <x:c r="F83" s="11" t="str">
        <x:v>L3</x:v>
      </x:c>
      <x:c r="G83" s="11" t="str">
        <x:v>X向6+6m、Y向5+5m，两层3.6m，一层10二层8kN/m²；完整属性按公共契约随题给出。 拟用 PKPM 原生计算；X梁沿Y轴线半跨分配，一层25/50/25、二层20/40/20kN/m；不加楼板约束。 边界：全部柱脚六自由度固定；无刚性楼板。</x:v>
      </x:c>
      <x:c r="H83" s="11" t="str">
        <x:v>不同楼层荷载及空间拓扑</x:v>
      </x:c>
      <x:c r="I83" s="11" t="str">
        <x:v>std-frame3d-complex-gt</x:v>
      </x:c>
      <x:c r="J83" s="11" t="str">
        <x:v>frame3d-complex</x:v>
      </x:c>
      <x:c r="K83" s="11" t="str">
        <x:v>空间两层X两跨Y两跨钢框架；全部柱脚六自由度固定；无刚性楼板；不同楼层面载；X梁按Y边/中轴线分配；单钢材料；梁柱分组截面及局部轴</x:v>
      </x:c>
      <x:c r="L83" s="11" t="str">
        <x:v>按本题拟定 PKPM 独立重算并核验；完整题面、参数/单位契约与真值待验证；单向楼面到X梁的显式分配与空间数值真值待验证</x:v>
      </x:c>
      <x:c r="M83" s="11" t="str">
        <x:v>逐字段材料/截面数值及单位；完整支承自由度、荷载坐标与结果观测点；局部轴和三向荷载约定；受荷宽度/分配规则逐梁列明</x:v>
      </x:c>
      <x:c r="N83" s="11" t="str">
        <x:v>独立规划骨架；可执行模型/数值真值待生成</x:v>
      </x:c>
      <x:c r="O83" s="30" t="n">
        <x:f>COUNTIFS('300题规划'!$C$2:$C$301,A83)</x:f>
        <x:v>1</x:v>
      </x:c>
      <x:c r="P83" s="5" t="str">
        <x:f>INDEX('300题规划'!$Y$2:$Y$301,MATCH(B83,'300题规划'!$A$2:$A$301,0))</x:f>
        <x:v>PKPM</x:v>
      </x:c>
      <x:c r="Q83" s="5" t="str">
        <x:f>INDEX('300题规划'!$AB$2:$AB$301,MATCH(B83,'300题规划'!$A$2:$A$301,0))</x:f>
        <x:v>存在已知接口缺口</x:v>
      </x:c>
    </x:row>
    <x:row r="84" ht="54" customHeight="1">
      <x:c r="A84" s="28" t="str">
        <x:v>M-STD-083</x:v>
      </x:c>
      <x:c r="B84" s="6" t="str">
        <x:v>STD-083</x:v>
      </x:c>
      <x:c r="C84" s="6" t="str">
        <x:v>分层材料的空间混凝土框架</x:v>
      </x:c>
      <x:c r="D84" s="6" t="str">
        <x:v>空间框架</x:v>
      </x:c>
      <x:c r="E84" s="6" t="str">
        <x:v>3D</x:v>
      </x:c>
      <x:c r="F84" s="6" t="str">
        <x:v>L3</x:v>
      </x:c>
      <x:c r="G84" s="6" t="str">
        <x:v>X向6+6m、Y向5m、两层各3.6m的空间混凝土框架，柱脚固定；首层柱C40，上层柱和全部梁C30，各组E明确。每层楼面12kN/m²单向传给X梁，各X梁30kN/m，Y梁不重复加载。 边界：全部柱脚六自由度固定；无刚性楼板。</x:v>
      </x:c>
      <x:c r="H84" s="6" t="str">
        <x:v>首层/上层与梁/柱角色共同决定材料，楼面只按明示规则传给X梁</x:v>
      </x:c>
      <x:c r="I84" s="6" t="str">
        <x:v>concrete-frame-3d-2story-static</x:v>
      </x:c>
      <x:c r="J84" s="6" t="str">
        <x:v>frame3d-concrete-2s-2x1y-12k</x:v>
      </x:c>
      <x:c r="K84" s="6" t="str">
        <x:v>空间两层X两跨Y一跨混凝土框架；全部柱脚六自由度固定；无刚性楼板；各层同面载只分配给X梁；首层柱C40；其余柱/梁C30；角色截面</x:v>
      </x:c>
      <x:c r="L84" s="6" t="str">
        <x:v>按本题拟定 PKPM 独立重算并核验；完整题面、参数/单位契约与真值待验证；单向楼面到X梁的显式分配与空间数值真值待验证</x:v>
      </x:c>
      <x:c r="M84" s="6" t="str">
        <x:v>逐字段材料/截面数值及单位；完整支承自由度、荷载坐标与结果观测点；局部轴和三向荷载约定；受荷宽度/分配规则逐梁列明</x:v>
      </x:c>
      <x:c r="N84" s="6" t="str">
        <x:v>独立规划骨架；可执行模型/数值真值待生成</x:v>
      </x:c>
      <x:c r="O84" s="30" t="n">
        <x:f>COUNTIFS('300题规划'!$C$2:$C$301,A84)</x:f>
        <x:v>1</x:v>
      </x:c>
      <x:c r="P84" s="5" t="str">
        <x:f>INDEX('300题规划'!$Y$2:$Y$301,MATCH(B84,'300题规划'!$A$2:$A$301,0))</x:f>
        <x:v>PKPM</x:v>
      </x:c>
      <x:c r="Q84" s="5" t="str">
        <x:f>INDEX('300题规划'!$AB$2:$AB$301,MATCH(B84,'300题规划'!$A$2:$A$301,0))</x:f>
        <x:v>存在已知接口缺口</x:v>
      </x:c>
    </x:row>
    <x:row r="85" ht="54" customHeight="1">
      <x:c r="A85" s="27" t="str">
        <x:v>M-STD-084</x:v>
      </x:c>
      <x:c r="B85" s="11" t="str">
        <x:v>STD-084</x:v>
      </x:c>
      <x:c r="C85" s="11" t="str">
        <x:v>两层空间混凝土框架不同层载</x:v>
      </x:c>
      <x:c r="D85" s="11" t="str">
        <x:v>空间框架</x:v>
      </x:c>
      <x:c r="E85" s="11" t="str">
        <x:v>3D</x:v>
      </x:c>
      <x:c r="F85" s="11" t="str">
        <x:v>L3</x:v>
      </x:c>
      <x:c r="G85" s="11" t="str">
        <x:v>X向6+6m、Y向5m，两层3.6m，一层12二层10kN/m²；完整属性按公共契约随题给出。 拟用 YJK 原生计算；每根X梁一层30、二层25kN/m，Y梁不重复加载；梁柱材料截面按表。 边界：全部柱脚六自由度固定；无刚性楼板。</x:v>
      </x:c>
      <x:c r="H85" s="11" t="str">
        <x:v>材料截面与楼层荷载联合映射</x:v>
      </x:c>
      <x:c r="I85" s="11" t="str">
        <x:v>std-frame3d-concrete-gt</x:v>
      </x:c>
      <x:c r="J85" s="11" t="str">
        <x:v>frame3d-concrete</x:v>
      </x:c>
      <x:c r="K85" s="11" t="str">
        <x:v>空间两层X两跨Y一跨混凝土框架；全部柱脚六自由度固定；无刚性楼板；两层不同面载只分配给X梁；全体C30；混凝土梁柱分组截面</x:v>
      </x:c>
      <x:c r="L85" s="11" t="str">
        <x:v>按本题拟定 YJK 独立重算并核验；完整题面、参数/单位契约与真值待验证；单向楼面到X梁的显式分配与空间数值真值待验证</x:v>
      </x:c>
      <x:c r="M85" s="11" t="str">
        <x:v>逐字段材料/截面数值及单位；完整支承自由度、荷载坐标与结果观测点；局部轴和三向荷载约定；受荷宽度/分配规则逐梁列明</x:v>
      </x:c>
      <x:c r="N85" s="11" t="str">
        <x:v>独立规划骨架；可执行模型/数值真值待生成</x:v>
      </x:c>
      <x:c r="O85" s="30" t="n">
        <x:f>COUNTIFS('300题规划'!$C$2:$C$301,A85)</x:f>
        <x:v>1</x:v>
      </x:c>
      <x:c r="P85" s="5" t="str">
        <x:f>INDEX('300题规划'!$Y$2:$Y$301,MATCH(B85,'300题规划'!$A$2:$A$301,0))</x:f>
        <x:v>YJK</x:v>
      </x:c>
      <x:c r="Q85" s="5" t="str">
        <x:f>INDEX('300题规划'!$AB$2:$AB$301,MATCH(B85,'300题规划'!$A$2:$A$301,0))</x:f>
        <x:v>存在已知接口缺口</x:v>
      </x:c>
    </x:row>
    <x:row r="86" ht="54" customHeight="1">
      <x:c r="A86" s="28" t="str">
        <x:v>M-STD-085</x:v>
      </x:c>
      <x:c r="B86" s="6" t="str">
        <x:v>STD-085</x:v>
      </x:c>
      <x:c r="C86" s="6" t="str">
        <x:v>不等网格空间钢框架</x:v>
      </x:c>
      <x:c r="D86" s="6" t="str">
        <x:v>空间框架</x:v>
      </x:c>
      <x:c r="E86" s="6" t="str">
        <x:v>3D</x:v>
      </x:c>
      <x:c r="F86" s="6" t="str">
        <x:v>L3</x:v>
      </x:c>
      <x:c r="G86" s="6" t="str">
        <x:v>X向4+7m、Y向3+6m，两层3.4、4.1m，显式梁连接表；完整属性按公共契约随题给出。 各柱脚固定；完整梁连接表中每根X梁10kN/m、Y梁6kN/m，仅给定梁加载。 边界：全部柱脚六自由度固定。</x:v>
      </x:c>
      <x:c r="H86" s="6" t="str">
        <x:v>非规则网格和不等层高</x:v>
      </x:c>
      <x:c r="I86" s="6" t="str">
        <x:v>无</x:v>
      </x:c>
      <x:c r="J86" s="6" t="str">
        <x:v>无</x:v>
      </x:c>
      <x:c r="K86" s="6" t="str">
        <x:v>空间两层X两不等跨Y两不等跨；不等层高；全部柱脚六自由度固定；X梁与Y梁各给不同直接线载；单钢材料；梁柱分组截面及局部轴</x:v>
      </x:c>
      <x:c r="L86" s="6" t="str">
        <x:v>基础工具；完整题面、参数/单位契约与真值待验证</x:v>
      </x:c>
      <x:c r="M86" s="6" t="str">
        <x:v>逐字段材料/截面数值及单位；完整支承自由度、荷载坐标与结果观测点；局部轴和三向荷载约定</x:v>
      </x:c>
      <x:c r="N86" s="6" t="str">
        <x:v>独立规划骨架；可执行模型/数值真值待生成</x:v>
      </x:c>
      <x:c r="O86" s="30" t="n">
        <x:f>COUNTIFS('300题规划'!$C$2:$C$301,A86)</x:f>
        <x:v>1</x:v>
      </x:c>
      <x:c r="P86" s="5" t="str">
        <x:f>INDEX('300题规划'!$Y$2:$Y$301,MATCH(B86,'300题规划'!$A$2:$A$301,0))</x:f>
        <x:v>YJK</x:v>
      </x:c>
      <x:c r="Q86" s="5" t="str">
        <x:f>INDEX('300题规划'!$AB$2:$AB$301,MATCH(B86,'300题规划'!$A$2:$A$301,0))</x:f>
        <x:v>存在已知接口缺口</x:v>
      </x:c>
    </x:row>
    <x:row r="87" ht="54" customHeight="1">
      <x:c r="A87" s="27" t="str">
        <x:v>M-STD-086</x:v>
      </x:c>
      <x:c r="B87" s="11" t="str">
        <x:v>STD-086</x:v>
      </x:c>
      <x:c r="C87" s="11" t="str">
        <x:v>L形平面空间框架</x:v>
      </x:c>
      <x:c r="D87" s="11" t="str">
        <x:v>空间框架</x:v>
      </x:c>
      <x:c r="E87" s="11" t="str">
        <x:v>3D</x:v>
      </x:c>
      <x:c r="F87" s="11" t="str">
        <x:v>L3</x:v>
      </x:c>
      <x:c r="G87" s="11" t="str">
        <x:v>2乘2网格删去一个角部单元区域，两层3.6m，全部实际梁柱按表给出；完整属性按公共契约随题给出。 基本网格X=0/6/12m、Y=0/5/10m；右上角格区缺失，实际构件表为准，各存留梁8kN/m。 边界：全部实际柱脚六自由度固定。</x:v>
      </x:c>
      <x:c r="H87" s="11" t="str">
        <x:v>不能补齐缺失角区与虚构楼面</x:v>
      </x:c>
      <x:c r="I87" s="11" t="str">
        <x:v>无</x:v>
      </x:c>
      <x:c r="J87" s="11" t="str">
        <x:v>无</x:v>
      </x:c>
      <x:c r="K87" s="11" t="str">
        <x:v>空间两层L形平面；右上角格区不存在；全部实际柱脚六自由度固定；仅全部实际梁同值直接线载；单钢材料；梁柱分组截面及局部轴</x:v>
      </x:c>
      <x:c r="L87" s="11" t="str">
        <x:v>不规则楼面荷载映射需验证；完整题面、参数/单位契约与真值待验证</x:v>
      </x:c>
      <x:c r="M87" s="11" t="str">
        <x:v>逐字段材料/截面数值及单位；完整支承自由度、荷载坐标与结果观测点；局部轴和三向荷载约定</x:v>
      </x:c>
      <x:c r="N87" s="11" t="str">
        <x:v>独立规划骨架；可执行模型/数值真值待生成</x:v>
      </x:c>
      <x:c r="O87" s="30" t="n">
        <x:f>COUNTIFS('300题规划'!$C$2:$C$301,A87)</x:f>
        <x:v>1</x:v>
      </x:c>
      <x:c r="P87" s="5" t="str">
        <x:f>INDEX('300题规划'!$Y$2:$Y$301,MATCH(B87,'300题规划'!$A$2:$A$301,0))</x:f>
        <x:v>PKPM</x:v>
      </x:c>
      <x:c r="Q87" s="5" t="str">
        <x:f>INDEX('300题规划'!$AB$2:$AB$301,MATCH(B87,'300题规划'!$A$2:$A$301,0))</x:f>
        <x:v>存在已知接口缺口</x:v>
      </x:c>
    </x:row>
    <x:row r="88" ht="54" customHeight="1">
      <x:c r="A88" s="28" t="str">
        <x:v>M-STD-087</x:v>
      </x:c>
      <x:c r="B88" s="6" t="str">
        <x:v>STD-087</x:v>
      </x:c>
      <x:c r="C88" s="6" t="str">
        <x:v>空间框架上层退台</x:v>
      </x:c>
      <x:c r="D88" s="6" t="str">
        <x:v>空间框架</x:v>
      </x:c>
      <x:c r="E88" s="6" t="str">
        <x:v>3D</x:v>
      </x:c>
      <x:c r="F88" s="6" t="str">
        <x:v>L3</x:v>
      </x:c>
      <x:c r="G88" s="6" t="str">
        <x:v>下层2乘2跨、上层仅1乘2跨，给各层实际柱网和荷载作用区；完整属性按公共契约随题给出。 网格跨长X向6m、Y向5m；层高各3.6m，上层仅左半X区保留，所有实际楼层梁10kN/m。 边界：全部实际柱脚六自由度固定。</x:v>
      </x:c>
      <x:c r="H88" s="6" t="str">
        <x:v>分层拓扑不同且楼面区域不同</x:v>
      </x:c>
      <x:c r="I88" s="6" t="str">
        <x:v>无</x:v>
      </x:c>
      <x:c r="J88" s="6" t="str">
        <x:v>无</x:v>
      </x:c>
      <x:c r="K88" s="6" t="str">
        <x:v>空间下层二乘二跨上层仅左一乘二跨；全部实际柱脚六自由度固定；仅各层实际梁同值线载；单钢材料；梁柱分组截面及局部轴</x:v>
      </x:c>
      <x:c r="L88" s="6" t="str">
        <x:v>不规则楼面荷载映射需验证；完整题面、参数/单位契约与真值待验证</x:v>
      </x:c>
      <x:c r="M88" s="6" t="str">
        <x:v>逐字段材料/截面数值及单位；完整支承自由度、荷载坐标与结果观测点；局部轴和三向荷载约定</x:v>
      </x:c>
      <x:c r="N88" s="6" t="str">
        <x:v>独立规划骨架；可执行模型/数值真值待生成</x:v>
      </x:c>
      <x:c r="O88" s="30" t="n">
        <x:f>COUNTIFS('300题规划'!$C$2:$C$301,A88)</x:f>
        <x:v>1</x:v>
      </x:c>
      <x:c r="P88" s="5" t="str">
        <x:f>INDEX('300题规划'!$Y$2:$Y$301,MATCH(B88,'300题规划'!$A$2:$A$301,0))</x:f>
        <x:v>YJK</x:v>
      </x:c>
      <x:c r="Q88" s="5" t="str">
        <x:f>INDEX('300题规划'!$AB$2:$AB$301,MATCH(B88,'300题规划'!$A$2:$A$301,0))</x:f>
        <x:v>存在已知接口缺口</x:v>
      </x:c>
    </x:row>
    <x:row r="89" ht="54" customHeight="1">
      <x:c r="A89" s="27" t="str">
        <x:v>M-STD-088</x:v>
      </x:c>
      <x:c r="B89" s="11" t="str">
        <x:v>STD-088</x:v>
      </x:c>
      <x:c r="C89" s="11" t="str">
        <x:v>双向节点侧力空间框架</x:v>
      </x:c>
      <x:c r="D89" s="11" t="str">
        <x:v>空间框架</x:v>
      </x:c>
      <x:c r="E89" s="11" t="str">
        <x:v>3D</x:v>
      </x:c>
      <x:c r="F89" s="11" t="str">
        <x:v>L3</x:v>
      </x:c>
      <x:c r="G89" s="11" t="str">
        <x:v>两层2乘1跨，重力与X/Y侧力分别给定，三个组合；完整属性按公共契约随题给出。 跨长X为6+6m、Y为5m，层高3.6m；D梁8kN/m，右后角逐层Wx=10/20kN、Wy=8/16kN；求D、D+Wx、D+Wy。 边界：全部柱脚六自由度固定。</x:v>
      </x:c>
      <x:c r="H89" s="11" t="str">
        <x:v>两个水平分量及组合响应定位</x:v>
      </x:c>
      <x:c r="I89" s="11" t="str">
        <x:v>无</x:v>
      </x:c>
      <x:c r="J89" s="11" t="str">
        <x:v>无</x:v>
      </x:c>
      <x:c r="K89" s="11" t="str">
        <x:v>空间两层X两跨Y一跨框架；全部柱脚六自由度固定；D梁线载；Wx/Wy右后角分层侧力；三个组合；单钢材料；梁柱分组截面及局部轴</x:v>
      </x:c>
      <x:c r="L89" s="11" t="str">
        <x:v>多组合执行契约需验证；完整题面、参数/单位契约与真值待验证</x:v>
      </x:c>
      <x:c r="M89" s="11" t="str">
        <x:v>逐字段材料/截面数值及单位；完整支承自由度、荷载坐标与结果观测点；局部轴和三向荷载约定；完整工况/组合系数表</x:v>
      </x:c>
      <x:c r="N89" s="11" t="str">
        <x:v>独立规划骨架；可执行模型/数值真值待生成</x:v>
      </x:c>
      <x:c r="O89" s="30" t="n">
        <x:f>COUNTIFS('300题规划'!$C$2:$C$301,A89)</x:f>
        <x:v>1</x:v>
      </x:c>
      <x:c r="P89" s="5" t="str">
        <x:f>INDEX('300题规划'!$Y$2:$Y$301,MATCH(B89,'300题规划'!$A$2:$A$301,0))</x:f>
        <x:v>YJK</x:v>
      </x:c>
      <x:c r="Q89" s="5" t="str">
        <x:f>INDEX('300题规划'!$AB$2:$AB$301,MATCH(B89,'300题规划'!$A$2:$A$301,0))</x:f>
        <x:v>存在已知接口缺口</x:v>
      </x:c>
    </x:row>
    <x:row r="90" ht="54" customHeight="1">
      <x:c r="A90" s="28" t="str">
        <x:v>M-STD-089</x:v>
      </x:c>
      <x:c r="B90" s="6" t="str">
        <x:v>STD-089</x:v>
      </x:c>
      <x:c r="C90" s="6" t="str">
        <x:v>边柱中柱角柱分组空间框架</x:v>
      </x:c>
      <x:c r="D90" s="6" t="str">
        <x:v>空间框架</x:v>
      </x:c>
      <x:c r="E90" s="6" t="str">
        <x:v>3D</x:v>
      </x:c>
      <x:c r="F90" s="6" t="str">
        <x:v>L3</x:v>
      </x:c>
      <x:c r="G90" s="6" t="str">
        <x:v>两层2乘2跨，角柱/边柱/中柱三组截面，梁另分X/Y两组；完整属性按公共契约随题给出。 跨长X各6m、Y各5m，层高3.6m；所有梁8kN/m，屋顶右后角加X向20/Y向15kN。 边界：全部柱脚六自由度固定。</x:v>
      </x:c>
      <x:c r="H90" s="6" t="str">
        <x:v>空间位置到构件组的映射</x:v>
      </x:c>
      <x:c r="I90" s="6" t="str">
        <x:v>无</x:v>
      </x:c>
      <x:c r="J90" s="6" t="str">
        <x:v>无</x:v>
      </x:c>
      <x:c r="K90" s="6" t="str">
        <x:v>空间两层X两跨Y两跨框架；全部柱脚六自由度固定；全部梁线载加屋顶右后角双向侧力；角柱/边柱/中柱与X梁/Y梁五截面组</x:v>
      </x:c>
      <x:c r="L90" s="6" t="str">
        <x:v>基础工具；完整题面、参数/单位契约与真值待验证</x:v>
      </x:c>
      <x:c r="M90" s="6" t="str">
        <x:v>逐字段材料/截面数值及单位；完整支承自由度、荷载坐标与结果观测点；局部轴和三向荷载约定</x:v>
      </x:c>
      <x:c r="N90" s="6" t="str">
        <x:v>独立规划骨架；可执行模型/数值真值待生成</x:v>
      </x:c>
      <x:c r="O90" s="30" t="n">
        <x:f>COUNTIFS('300题规划'!$C$2:$C$301,A90)</x:f>
        <x:v>1</x:v>
      </x:c>
      <x:c r="P90" s="5" t="str">
        <x:f>INDEX('300题规划'!$Y$2:$Y$301,MATCH(B90,'300题规划'!$A$2:$A$301,0))</x:f>
        <x:v>PKPM</x:v>
      </x:c>
      <x:c r="Q90" s="5" t="str">
        <x:f>INDEX('300题规划'!$AB$2:$AB$301,MATCH(B90,'300题规划'!$A$2:$A$301,0))</x:f>
        <x:v>存在已知接口缺口</x:v>
      </x:c>
    </x:row>
    <x:row r="91" ht="54" customHeight="1">
      <x:c r="A91" s="27" t="str">
        <x:v>M-STD-090</x:v>
      </x:c>
      <x:c r="B91" s="11" t="str">
        <x:v>STD-090</x:v>
      </x:c>
      <x:c r="C91" s="11" t="str">
        <x:v>局部柱轴旋转的空间框架</x:v>
      </x:c>
      <x:c r="D91" s="11" t="str">
        <x:v>空间框架</x:v>
      </x:c>
      <x:c r="E91" s="11" t="str">
        <x:v>3D</x:v>
      </x:c>
      <x:c r="F91" s="11" t="str">
        <x:v>L3</x:v>
      </x:c>
      <x:c r="G91" s="11" t="str">
        <x:v>两层1乘2跨，指定矩形截面柱局部轴转90度，其余不变，双向侧力；完整属性按公共契约随题给出。 X跨6m、Y两跨各5m、层高3.6m；只将Y=0m的两根柱线局部轴转90°，屋顶节点(6,10,7.2)m受X向20/Y向15kN。 边界：全部柱脚六自由度固定。</x:v>
      </x:c>
      <x:c r="H91" s="11" t="str">
        <x:v>局部轴与强弱向刚度不能混淆</x:v>
      </x:c>
      <x:c r="I91" s="11" t="str">
        <x:v>无</x:v>
      </x:c>
      <x:c r="J91" s="11" t="str">
        <x:v>无</x:v>
      </x:c>
      <x:c r="K91" s="11" t="str">
        <x:v>空间两层X一跨Y两跨矩形截面框架；全部柱脚六自由度固定；屋顶节点(6,10,7.2)m的X/Y两分量侧力；仅Y=0m两柱线局部轴转90度；其余不转；局部基准轴另表给定</x:v>
      </x:c>
      <x:c r="L91" s="11" t="str">
        <x:v>局部轴输入与适配需验证；完整题面、参数/单位契约与真值待验证</x:v>
      </x:c>
      <x:c r="M91" s="11" t="str">
        <x:v>逐字段材料/截面数值及单位；完整支承自由度、荷载坐标与结果观测点；局部轴和三向荷载约定</x:v>
      </x:c>
      <x:c r="N91" s="11" t="str">
        <x:v>独立规划骨架；可执行模型/数值真值待生成</x:v>
      </x:c>
      <x:c r="O91" s="30" t="n">
        <x:f>COUNTIFS('300题规划'!$C$2:$C$301,A91)</x:f>
        <x:v>1</x:v>
      </x:c>
      <x:c r="P91" s="5" t="str">
        <x:f>INDEX('300题规划'!$Y$2:$Y$301,MATCH(B91,'300题规划'!$A$2:$A$301,0))</x:f>
        <x:v>OpenSees</x:v>
      </x:c>
      <x:c r="Q91" s="5" t="str">
        <x:f>INDEX('300题规划'!$AB$2:$AB$301,MATCH(B91,'300题规划'!$A$2:$A$301,0))</x:f>
        <x:v>待逐题验证</x:v>
      </x:c>
    </x:row>
    <x:row r="92" ht="54" customHeight="1">
      <x:c r="A92" s="28" t="str">
        <x:v>M-STD-091</x:v>
      </x:c>
      <x:c r="B92" s="6" t="str">
        <x:v>STD-091</x:v>
      </x:c>
      <x:c r="C92" s="6" t="str">
        <x:v>仅一个楼面分区加载</x:v>
      </x:c>
      <x:c r="D92" s="6" t="str">
        <x:v>空间框架</x:v>
      </x:c>
      <x:c r="E92" s="6" t="str">
        <x:v>3D</x:v>
      </x:c>
      <x:c r="F92" s="6" t="str">
        <x:v>L3</x:v>
      </x:c>
      <x:c r="G92" s="6" t="str">
        <x:v>两层2乘2跨，D全部梁线载，L只指定矩形分区边界梁，分配规则明示；完整属性按公共契约随题给出。 网格X=0/6/12m、Y=0/5/10m，两层3.6m；D各梁8kN/m，L只顶层左前格四条边梁各6kN/m，求D、D+L。 边界：全部柱脚六自由度固定。</x:v>
      </x:c>
      <x:c r="H92" s="6" t="str">
        <x:v>空间荷载作用区域与重复加载</x:v>
      </x:c>
      <x:c r="I92" s="6" t="str">
        <x:v>无</x:v>
      </x:c>
      <x:c r="J92" s="6" t="str">
        <x:v>无</x:v>
      </x:c>
      <x:c r="K92" s="6" t="str">
        <x:v>空间两层X两跨Y两跨框架；全部柱脚六自由度固定；D全部梁；L仅顶层左前格四边梁；两组合；单钢材料；梁柱分组截面及局部轴</x:v>
      </x:c>
      <x:c r="L92" s="6" t="str">
        <x:v>多工况/多组合执行及结果索引需验证；完整题面、参数/单位契约与真值待验证</x:v>
      </x:c>
      <x:c r="M92" s="6" t="str">
        <x:v>逐字段材料/截面数值及单位；完整支承自由度、荷载坐标与结果观测点；局部轴和三向荷载约定；完整工况/组合系数表</x:v>
      </x:c>
      <x:c r="N92" s="6" t="str">
        <x:v>独立规划骨架；可执行模型/数值真值待生成</x:v>
      </x:c>
      <x:c r="O92" s="30" t="n">
        <x:f>COUNTIFS('300题规划'!$C$2:$C$301,A92)</x:f>
        <x:v>1</x:v>
      </x:c>
      <x:c r="P92" s="5" t="str">
        <x:f>INDEX('300题规划'!$Y$2:$Y$301,MATCH(B92,'300题规划'!$A$2:$A$301,0))</x:f>
        <x:v>PKPM</x:v>
      </x:c>
      <x:c r="Q92" s="5" t="str">
        <x:f>INDEX('300题规划'!$AB$2:$AB$301,MATCH(B92,'300题规划'!$A$2:$A$301,0))</x:f>
        <x:v>存在已知接口缺口</x:v>
      </x:c>
    </x:row>
    <x:row r="93" ht="54" customHeight="1">
      <x:c r="A93" s="27" t="str">
        <x:v>M-STD-092</x:v>
      </x:c>
      <x:c r="B93" s="11" t="str">
        <x:v>STD-092</x:v>
      </x:c>
      <x:c r="C93" s="11" t="str">
        <x:v>斜屋盖空间框架</x:v>
      </x:c>
      <x:c r="D93" s="11" t="str">
        <x:v>空间框架</x:v>
      </x:c>
      <x:c r="E93" s="11" t="str">
        <x:v>3D</x:v>
      </x:c>
      <x:c r="F93" s="11" t="str">
        <x:v>L3</x:v>
      </x:c>
      <x:c r="G93" s="11" t="str">
        <x:v>单层2乘1跨，屋面一侧高6m另一侧8m，坡梁按实际长度竖向加载；完整属性按公共契约随题给出。 X跨6+6m、Y跨5m，Y=0侧高6m、Y=5侧高8m；各屋面梁按实际长度向下5kN/m。 边界：全部柱脚六自由度固定。</x:v>
      </x:c>
      <x:c r="H93" s="11" t="str">
        <x:v>三维斜梁连接与荷载投影</x:v>
      </x:c>
      <x:c r="I93" s="11" t="str">
        <x:v>无</x:v>
      </x:c>
      <x:c r="J93" s="11" t="str">
        <x:v>无</x:v>
      </x:c>
      <x:c r="K93" s="11" t="str">
        <x:v>空间单层X两跨Y一跨；单坡斜屋面；全部柱脚六自由度固定；每根屋面梁按真实杆长全局竖向线载；单钢材料；梁柱分组截面及局部轴</x:v>
      </x:c>
      <x:c r="L93" s="11" t="str">
        <x:v>斜杆荷载与局部轴需验证；完整题面、参数/单位契约与真值待验证</x:v>
      </x:c>
      <x:c r="M93" s="11" t="str">
        <x:v>逐字段材料/截面数值及单位；完整支承自由度、荷载坐标与结果观测点；局部轴和三向荷载约定</x:v>
      </x:c>
      <x:c r="N93" s="11" t="str">
        <x:v>独立规划骨架；可执行模型/数值真值待生成</x:v>
      </x:c>
      <x:c r="O93" s="30" t="n">
        <x:f>COUNTIFS('300题规划'!$C$2:$C$301,A93)</x:f>
        <x:v>1</x:v>
      </x:c>
      <x:c r="P93" s="5" t="str">
        <x:f>INDEX('300题规划'!$Y$2:$Y$301,MATCH(B93,'300题规划'!$A$2:$A$301,0))</x:f>
        <x:v>OpenSees</x:v>
      </x:c>
      <x:c r="Q93" s="5" t="str">
        <x:f>INDEX('300题规划'!$AB$2:$AB$301,MATCH(B93,'300题规划'!$A$2:$A$301,0))</x:f>
        <x:v>待逐题验证</x:v>
      </x:c>
    </x:row>
    <x:row r="94" ht="67.5" customHeight="1">
      <x:c r="A94" s="28" t="str">
        <x:v>M-STD-093</x:v>
      </x:c>
      <x:c r="B94" s="6" t="str">
        <x:v>STD-093</x:v>
      </x:c>
      <x:c r="C94" s="6" t="str">
        <x:v>局部空间支撑框架</x:v>
      </x:c>
      <x:c r="D94" s="6" t="str">
        <x:v>空间框架</x:v>
      </x:c>
      <x:c r="E94" s="6" t="str">
        <x:v>3D</x:v>
      </x:c>
      <x:c r="F94" s="6" t="str">
        <x:v>L3</x:v>
      </x:c>
      <x:c r="G94" s="6" t="str">
        <x:v>两层1乘1跨，仅一侧立面设轴力斜撑，其他面刚接梁柱，双向荷载；完整属性按公共契约随题给出。 X跨6m、Y跨5m，层高3.6m；仅Y=0立面每层一根轴力斜撑，所有梁8kN/m，屋顶右后角X/Y各20kN。 两根斜撑分别从(0,0,0)到(6,0,3.6)m、从(0,0,3.6)到(6,0,7.2)m。 边界：柱脚固定；斜撑端铰接；其他面无支撑。</x:v>
      </x:c>
      <x:c r="H94" s="6" t="str">
        <x:v>立面位置与混合单元类型</x:v>
      </x:c>
      <x:c r="I94" s="6" t="str">
        <x:v>无</x:v>
      </x:c>
      <x:c r="J94" s="6" t="str">
        <x:v>无</x:v>
      </x:c>
      <x:c r="K94" s="6" t="str">
        <x:v>空间两层单乘单跨；仅Y=0立面每层左下至右上轴力斜撑；柱脚固定；斜撑端铰接；其他面无支撑；全部梁线载加屋顶右后角X/Y侧力；弯曲梁柱与空间轴力支撑混合</x:v>
      </x:c>
      <x:c r="L94" s="6" t="str">
        <x:v>混合单元工具链需验证；完整题面、参数/单位契约与真值待验证</x:v>
      </x:c>
      <x:c r="M94" s="6" t="str">
        <x:v>逐字段材料/截面数值及单位；完整支承自由度、荷载坐标与结果观测点；局部轴和三向荷载约定</x:v>
      </x:c>
      <x:c r="N94" s="6" t="str">
        <x:v>独立规划骨架；可执行模型/数值真值待生成</x:v>
      </x:c>
      <x:c r="O94" s="30" t="n">
        <x:f>COUNTIFS('300题规划'!$C$2:$C$301,A94)</x:f>
        <x:v>1</x:v>
      </x:c>
      <x:c r="P94" s="5" t="str">
        <x:f>INDEX('300题规划'!$Y$2:$Y$301,MATCH(B94,'300题规划'!$A$2:$A$301,0))</x:f>
        <x:v>OpenSees</x:v>
      </x:c>
      <x:c r="Q94" s="5" t="str">
        <x:f>INDEX('300题规划'!$AB$2:$AB$301,MATCH(B94,'300题规划'!$A$2:$A$301,0))</x:f>
        <x:v>待逐题验证</x:v>
      </x:c>
    </x:row>
    <x:row r="95" ht="67.5" customHeight="1">
      <x:c r="A95" s="27" t="str">
        <x:v>M-STD-094</x:v>
      </x:c>
      <x:c r="B95" s="11" t="str">
        <x:v>STD-094</x:v>
      </x:c>
      <x:c r="C95" s="11" t="str">
        <x:v>坐标轴置换的非规则空间框架</x:v>
      </x:c>
      <x:c r="D95" s="11" t="str">
        <x:v>空间框架</x:v>
      </x:c>
      <x:c r="E95" s="11" t="str">
        <x:v>3D</x:v>
      </x:c>
      <x:c r="F95" s="11" t="str">
        <x:v>L3</x:v>
      </x:c>
      <x:c r="G95" s="11" t="str">
        <x:v>给源坐标Y向上与到全局Z向上的明确映射，非等跨两层，荷载向量按源轴给定；完整属性按公共契约随题给出。 源Y向上，明示映射全局(X,Y,Z)=(源X,-源Z,源Y)；源水平跨6+4m与5m，两层3/4m，载荷作用于源坐标(10,7,5)m顶角，力向量源(20,-30,10)kN。 边界：柱脚全固定；约束方向同坐标正交变换。</x:v>
      </x:c>
      <x:c r="H95" s="11" t="str">
        <x:v>几何、约束和荷载必须一致变换</x:v>
      </x:c>
      <x:c r="I95" s="11" t="str">
        <x:v>无</x:v>
      </x:c>
      <x:c r="J95" s="11" t="str">
        <x:v>无</x:v>
      </x:c>
      <x:c r="K95" s="11" t="str">
        <x:v>空间两层X两不等跨Y一跨；源Y向上坐标；柱脚全固定；约束方向同坐标正交变换；源坐标(10,7,5)m顶角施加源力向量(20,-30,10)kN并变换到全局；单钢材料；截面局部轴随坐标变换</x:v>
      </x:c>
      <x:c r="L95" s="11" t="str">
        <x:v>坐标转换协议需验证；完整题面、参数/单位契约与真值待验证</x:v>
      </x:c>
      <x:c r="M95" s="11" t="str">
        <x:v>逐字段材料/截面数值及单位；完整支承自由度、荷载坐标与结果观测点；局部轴和三向荷载约定</x:v>
      </x:c>
      <x:c r="N95" s="11" t="str">
        <x:v>独立规划骨架；可执行模型/数值真值待生成</x:v>
      </x:c>
      <x:c r="O95" s="30" t="n">
        <x:f>COUNTIFS('300题规划'!$C$2:$C$301,A95)</x:f>
        <x:v>1</x:v>
      </x:c>
      <x:c r="P95" s="5" t="str">
        <x:f>INDEX('300题规划'!$Y$2:$Y$301,MATCH(B95,'300题规划'!$A$2:$A$301,0))</x:f>
        <x:v>OpenSees</x:v>
      </x:c>
      <x:c r="Q95" s="5" t="str">
        <x:f>INDEX('300题规划'!$AB$2:$AB$301,MATCH(B95,'300题规划'!$A$2:$A$301,0))</x:f>
        <x:v>待逐题验证</x:v>
      </x:c>
    </x:row>
    <x:row r="96" ht="52.5" customHeight="1">
      <x:c r="A96" s="28" t="str">
        <x:v>M-STD-095</x:v>
      </x:c>
      <x:c r="B96" s="6" t="str">
        <x:v>STD-095</x:v>
      </x:c>
      <x:c r="C96" s="6" t="str">
        <x:v>混凝土柱纯轴压</x:v>
      </x:c>
      <x:c r="D96" s="6" t="str">
        <x:v>柱</x:v>
      </x:c>
      <x:c r="E96" s="6" t="str">
        <x:v>2D</x:v>
      </x:c>
      <x:c r="F96" s="6" t="str">
        <x:v>L1</x:v>
      </x:c>
      <x:c r="G96" s="6" t="str">
        <x:v>高4.5m、400×400mm，柱底固定，柱顶向下500kN；完整属性按公共契约随题给出。 给C30完整弹性属性，底固定且顶无横向约束；只报告一阶轴压响应。 边界：底固定顶自由。</x:v>
      </x:c>
      <x:c r="H96" s="6" t="str">
        <x:v>轴压方向与材料截面</x:v>
      </x:c>
      <x:c r="I96" s="6" t="str">
        <x:v>independent-column-static</x:v>
      </x:c>
      <x:c r="J96" s="6" t="str">
        <x:v>column-concrete-4p5-500</x:v>
      </x:c>
      <x:c r="K96" s="6" t="str">
        <x:v>竖直单杆混凝土柱；底固定顶自由；仅顶点轴向压缩力；C30均匀单截面；线弹性</x:v>
      </x:c>
      <x:c r="L96" s="6" t="str">
        <x:v>基础工具；完整题面、参数/单位契约与真值待验证</x:v>
      </x:c>
      <x:c r="M96" s="6" t="str">
        <x:v>逐字段材料/截面数值及单位；完整支承自由度、荷载坐标与结果观测点</x:v>
      </x:c>
      <x:c r="N96" s="6" t="str">
        <x:v>独立规划骨架；可执行模型/数值真值待生成</x:v>
      </x:c>
      <x:c r="O96" s="30" t="n">
        <x:f>COUNTIFS('300题规划'!$C$2:$C$301,A96)</x:f>
        <x:v>1</x:v>
      </x:c>
      <x:c r="P96" s="5" t="str">
        <x:f>INDEX('300题规划'!$Y$2:$Y$301,MATCH(B96,'300题规划'!$A$2:$A$301,0))</x:f>
        <x:v>OpenSees</x:v>
      </x:c>
      <x:c r="Q96" s="5" t="str">
        <x:f>INDEX('300题规划'!$AB$2:$AB$301,MATCH(B96,'300题规划'!$A$2:$A$301,0))</x:f>
        <x:v>待逐题验证</x:v>
      </x:c>
    </x:row>
    <x:row r="97" ht="52.5" customHeight="1">
      <x:c r="A97" s="27" t="str">
        <x:v>M-STD-096</x:v>
      </x:c>
      <x:c r="B97" s="11" t="str">
        <x:v>STD-096</x:v>
      </x:c>
      <x:c r="C97" s="11" t="str">
        <x:v>混凝土柱轴压加水平力</x:v>
      </x:c>
      <x:c r="D97" s="11" t="str">
        <x:v>柱</x:v>
      </x:c>
      <x:c r="E97" s="11" t="str">
        <x:v>2D</x:v>
      </x:c>
      <x:c r="F97" s="11" t="str">
        <x:v>L2</x:v>
      </x:c>
      <x:c r="G97" s="11" t="str">
        <x:v>高4.2m、450×450mm，底固定，顶向下600kN及X向30kN，一阶弹性；完整属性按公共契约随题给出。 轴压600kN与水平30kN都在柱顶，明确一阶弹性、不启用P-Delta。 边界：底固定顶自由。</x:v>
      </x:c>
      <x:c r="H97" s="11" t="str">
        <x:v>轴向和侧向分量分开</x:v>
      </x:c>
      <x:c r="I97" s="11" t="str">
        <x:v>std-column-axial-600kn-lateral30</x:v>
      </x:c>
      <x:c r="J97" s="11" t="str">
        <x:v>column-concrete-4p2-600-30</x:v>
      </x:c>
      <x:c r="K97" s="11" t="str">
        <x:v>竖直单杆混凝土柱；底固定顶自由；顶点轴压加一个水平分量力；均匀混凝土截面；一阶弹性</x:v>
      </x:c>
      <x:c r="L97" s="11" t="str">
        <x:v>基础工具；完整题面、参数/单位契约与真值待验证</x:v>
      </x:c>
      <x:c r="M97" s="11" t="str">
        <x:v>逐字段材料/截面数值及单位；完整支承自由度、荷载坐标与结果观测点</x:v>
      </x:c>
      <x:c r="N97" s="11" t="str">
        <x:v>独立规划骨架；可执行模型/数值真值待生成</x:v>
      </x:c>
      <x:c r="O97" s="30" t="n">
        <x:f>COUNTIFS('300题规划'!$C$2:$C$301,A97)</x:f>
        <x:v>1</x:v>
      </x:c>
      <x:c r="P97" s="5" t="str">
        <x:f>INDEX('300题规划'!$Y$2:$Y$301,MATCH(B97,'300题规划'!$A$2:$A$301,0))</x:f>
        <x:v>OpenSees</x:v>
      </x:c>
      <x:c r="Q97" s="5" t="str">
        <x:f>INDEX('300题规划'!$AB$2:$AB$301,MATCH(B97,'300题规划'!$A$2:$A$301,0))</x:f>
        <x:v>待逐题验证</x:v>
      </x:c>
    </x:row>
    <x:row r="98" ht="52.5" customHeight="1">
      <x:c r="A98" s="28" t="str">
        <x:v>M-STD-097</x:v>
      </x:c>
      <x:c r="B98" s="6" t="str">
        <x:v>STD-097</x:v>
      </x:c>
      <x:c r="C98" s="6" t="str">
        <x:v>中部与顶部双点轴压钢柱</x:v>
      </x:c>
      <x:c r="D98" s="6" t="str">
        <x:v>柱</x:v>
      </x:c>
      <x:c r="E98" s="6" t="str">
        <x:v>2D</x:v>
      </x:c>
      <x:c r="F98" s="6" t="str">
        <x:v>L2</x:v>
      </x:c>
      <x:c r="G98" s="6" t="str">
        <x:v>5m钢柱底固定、截面HW300×300完整A等属性按表；顶部向下700kN，z=2.5m中部共享节点另加向下200kN。采用一阶弹性，不做稳定验算。 边界：底固定顶自由；中点不加约束。</x:v>
      </x:c>
      <x:c r="H98" s="6" t="str">
        <x:v>中部节点荷载使上下段轴力不同，节点必须连通且轴力符号明确</x:v>
      </x:c>
      <x:c r="I98" s="6" t="str">
        <x:v>std-column-steel-5m-en</x:v>
      </x:c>
      <x:c r="J98" s="6" t="str">
        <x:v>column-steel-5m-700</x:v>
      </x:c>
      <x:c r="K98" s="6" t="str">
        <x:v>竖直钢柱；中高共享节点形成两段；底固定顶自由；中点不加约束；顶部轴压加中高节点轴压；分段轴力；均匀钢截面；一阶弹性</x:v>
      </x:c>
      <x:c r="L98" s="6" t="str">
        <x:v>基础工具；完整题面、参数/单位契约与真值待验证</x:v>
      </x:c>
      <x:c r="M98" s="6" t="str">
        <x:v>逐字段材料/截面数值及单位；完整支承自由度、荷载坐标与结果观测点</x:v>
      </x:c>
      <x:c r="N98" s="6" t="str">
        <x:v>独立规划骨架；可执行模型/数值真值待生成</x:v>
      </x:c>
      <x:c r="O98" s="30" t="n">
        <x:f>COUNTIFS('300题规划'!$C$2:$C$301,A98)</x:f>
        <x:v>1</x:v>
      </x:c>
      <x:c r="P98" s="5" t="str">
        <x:f>INDEX('300题规划'!$Y$2:$Y$301,MATCH(B98,'300题规划'!$A$2:$A$301,0))</x:f>
        <x:v>OpenSees</x:v>
      </x:c>
      <x:c r="Q98" s="5" t="str">
        <x:f>INDEX('300题规划'!$AB$2:$AB$301,MATCH(B98,'300题规划'!$A$2:$A$301,0))</x:f>
        <x:v>待逐题验证</x:v>
      </x:c>
    </x:row>
    <x:row r="99" ht="54" customHeight="1">
      <x:c r="A99" s="27" t="str">
        <x:v>M-STD-098</x:v>
      </x:c>
      <x:c r="B99" s="11" t="str">
        <x:v>STD-098</x:v>
      </x:c>
      <x:c r="C99" s="11" t="str">
        <x:v>空间悬臂柱双向侧力</x:v>
      </x:c>
      <x:c r="D99" s="11" t="str">
        <x:v>柱</x:v>
      </x:c>
      <x:c r="E99" s="11" t="str">
        <x:v>3D</x:v>
      </x:c>
      <x:c r="F99" s="11" t="str">
        <x:v>L2</x:v>
      </x:c>
      <x:c r="G99" s="11" t="str">
        <x:v>高6m，底六自由度固定，顶X向20、Y向15、Z向-400kN，给非对称截面；完整属性按公共契约随题给出。 给出局部轴和两个不同主惯性矩，顶力为(20,15,-400)kN，采用一阶弹性。 边界：底六自由度固定顶自由。</x:v>
      </x:c>
      <x:c r="H99" s="11" t="str">
        <x:v>两个弯曲方向与截面惯性矩</x:v>
      </x:c>
      <x:c r="I99" s="11" t="str">
        <x:v>无</x:v>
      </x:c>
      <x:c r="J99" s="11" t="str">
        <x:v>无</x:v>
      </x:c>
      <x:c r="K99" s="11" t="str">
        <x:v>竖直空间悬臂柱；底六自由度固定顶自由；顶点轴压加X/Y两个水平分量力；非对称截面；两主惯性矩不同；局部轴明确</x:v>
      </x:c>
      <x:c r="L99" s="11" t="str">
        <x:v>空间局部轴需验证；完整题面、参数/单位契约与真值待验证</x:v>
      </x:c>
      <x:c r="M99" s="11" t="str">
        <x:v>逐字段材料/截面数值及单位；完整支承自由度、荷载坐标与结果观测点；局部轴和三向荷载约定</x:v>
      </x:c>
      <x:c r="N99" s="11" t="str">
        <x:v>独立规划骨架；可执行模型/数值真值待生成</x:v>
      </x:c>
      <x:c r="O99" s="30" t="n">
        <x:f>COUNTIFS('300题规划'!$C$2:$C$301,A99)</x:f>
        <x:v>1</x:v>
      </x:c>
      <x:c r="P99" s="5" t="str">
        <x:f>INDEX('300题规划'!$Y$2:$Y$301,MATCH(B99,'300题规划'!$A$2:$A$301,0))</x:f>
        <x:v>OpenSees</x:v>
      </x:c>
      <x:c r="Q99" s="5" t="str">
        <x:f>INDEX('300题规划'!$AB$2:$AB$301,MATCH(B99,'300题规划'!$A$2:$A$301,0))</x:f>
        <x:v>待逐题验证</x:v>
      </x:c>
    </x:row>
    <x:row r="100" ht="54" customHeight="1">
      <x:c r="A100" s="28" t="str">
        <x:v>M-STD-099</x:v>
      </x:c>
      <x:c r="B100" s="6" t="str">
        <x:v>STD-099</x:v>
      </x:c>
      <x:c r="C100" s="6" t="str">
        <x:v>分段截面悬臂柱</x:v>
      </x:c>
      <x:c r="D100" s="6" t="str">
        <x:v>柱</x:v>
      </x:c>
      <x:c r="E100" s="6" t="str">
        <x:v>2D</x:v>
      </x:c>
      <x:c r="F100" s="6" t="str">
        <x:v>L2</x:v>
      </x:c>
      <x:c r="G100" s="6" t="str">
        <x:v>高8m，下段0至3m用C1、上段用C2，顶轴压与侧力明确；完整属性按公共契约随题给出。 顶端竖向-500kN、X向25kN，下段0至3m为C1、上段为C2；界面无铰。 边界：底固定顶自由；截面界面无铰。</x:v>
      </x:c>
      <x:c r="H100" s="6" t="str">
        <x:v>截面分界节点与整体连续</x:v>
      </x:c>
      <x:c r="I100" s="6" t="str">
        <x:v>无</x:v>
      </x:c>
      <x:c r="J100" s="6" t="str">
        <x:v>无</x:v>
      </x:c>
      <x:c r="K100" s="6" t="str">
        <x:v>竖直平面柱；下上两段连续；底固定顶自由；截面界面无铰；顶点轴压加单向水平力；下段C1上段C2；分段EA/EI</x:v>
      </x:c>
      <x:c r="L100" s="6" t="str">
        <x:v>基础工具；完整题面、参数/单位契约与真值待验证</x:v>
      </x:c>
      <x:c r="M100" s="6" t="str">
        <x:v>逐字段材料/截面数值及单位；完整支承自由度、荷载坐标与结果观测点</x:v>
      </x:c>
      <x:c r="N100" s="6" t="str">
        <x:v>独立规划骨架；可执行模型/数值真值待生成</x:v>
      </x:c>
      <x:c r="O100" s="30" t="n">
        <x:f>COUNTIFS('300题规划'!$C$2:$C$301,A100)</x:f>
        <x:v>1</x:v>
      </x:c>
      <x:c r="P100" s="5" t="str">
        <x:f>INDEX('300题规划'!$Y$2:$Y$301,MATCH(B100,'300题规划'!$A$2:$A$301,0))</x:f>
        <x:v>OpenSees</x:v>
      </x:c>
      <x:c r="Q100" s="5" t="str">
        <x:f>INDEX('300题规划'!$AB$2:$AB$301,MATCH(B100,'300题规划'!$A$2:$A$301,0))</x:f>
        <x:v>待逐题验证</x:v>
      </x:c>
    </x:row>
    <x:row r="101" ht="54" customHeight="1">
      <x:c r="A101" s="27" t="str">
        <x:v>M-STD-100</x:v>
      </x:c>
      <x:c r="B101" s="11" t="str">
        <x:v>STD-100</x:v>
      </x:c>
      <x:c r="C101" s="11" t="str">
        <x:v>带刚接短臂的偏心受载柱</x:v>
      </x:c>
      <x:c r="D101" s="11" t="str">
        <x:v>柱</x:v>
      </x:c>
      <x:c r="E101" s="11" t="str">
        <x:v>3D</x:v>
      </x:c>
      <x:c r="F101" s="11" t="str">
        <x:v>L3</x:v>
      </x:c>
      <x:c r="G101" s="11" t="str">
        <x:v>柱高5m，柱顶沿X向刚接1m短梁，短梁端向下200kN及Y向10kN；完整属性按公共契约随题给出。 柱顶(0,0,5)m与臂端(1,0,5)m真实刚接，柱和短梁各给A/I/J；臂端受(0,10,-200)kN。 边界：柱底六自由度固定；短臂端自由。</x:v>
      </x:c>
      <x:c r="H101" s="11" t="str">
        <x:v>真实偏心几何与空间荷载，不用未声明刚臂简化</x:v>
      </x:c>
      <x:c r="I101" s="11" t="str">
        <x:v>无</x:v>
      </x:c>
      <x:c r="J101" s="11" t="str">
        <x:v>无</x:v>
      </x:c>
      <x:c r="K101" s="11" t="str">
        <x:v>空间柱顶刚接X向短臂；真实偏心几何；柱底六自由度固定；短臂端自由；短臂端竖向力加Y向侧力；产生空间弯扭；柱与短梁各给A/I/J；有限扭转刚度</x:v>
      </x:c>
      <x:c r="L101" s="11" t="str">
        <x:v>空间梁柱连接需验证；完整题面、参数/单位契约与真值待验证；扭转刚度J及六分量端力输出需验证</x:v>
      </x:c>
      <x:c r="M101" s="11" t="str">
        <x:v>逐字段材料/截面数值及单位；完整支承自由度、荷载坐标与结果观测点；局部轴和三向荷载约定</x:v>
      </x:c>
      <x:c r="N101" s="11" t="str">
        <x:v>独立规划骨架；可执行模型/数值真值待生成</x:v>
      </x:c>
      <x:c r="O101" s="30" t="n">
        <x:f>COUNTIFS('300题规划'!$C$2:$C$301,A101)</x:f>
        <x:v>1</x:v>
      </x:c>
      <x:c r="P101" s="5" t="str">
        <x:f>INDEX('300题规划'!$Y$2:$Y$301,MATCH(B101,'300题规划'!$A$2:$A$301,0))</x:f>
        <x:v>OpenSees</x:v>
      </x:c>
      <x:c r="Q101" s="5" t="str">
        <x:f>INDEX('300题规划'!$AB$2:$AB$301,MATCH(B101,'300题规划'!$A$2:$A$301,0))</x:f>
        <x:v>待逐题验证</x:v>
      </x:c>
    </x:row>
    <x:row r="102" ht="52.5" customHeight="1">
      <x:c r="A102" s="28" t="str">
        <x:v>M-INT-001</x:v>
      </x:c>
      <x:c r="B102" s="6" t="str">
        <x:v>INT-001</x:v>
      </x:c>
      <x:c r="C102" s="6" t="str">
        <x:v>均布加近支座点力梁</x:v>
      </x:c>
      <x:c r="D102" s="6" t="str">
        <x:v>梁</x:v>
      </x:c>
      <x:c r="E102" s="6" t="str">
        <x:v>2D</x:v>
      </x:c>
      <x:c r="F102" s="6" t="str">
        <x:v>L2</x:v>
      </x:c>
      <x:c r="G102" s="6" t="str">
        <x:v>跨度6m，左铰右滚，全跨向下20kN/m，跨中观测点；x=1.5m另有向下12kN点力，跨中追加/撤销操作不触及该点力；支承：x=0铰、x=6m竖向滚支。</x:v>
      </x:c>
      <x:c r="H102" s="6" t="str">
        <x:v>梁边界和均布荷载覆盖；荷载分布需与交互状态独立保持</x:v>
      </x:c>
      <x:c r="I102" s="6" t="str">
        <x:v>beam-static-6m</x:v>
      </x:c>
      <x:c r="J102" s="6" t="str">
        <x:v>beam-simple-6m</x:v>
      </x:c>
      <x:c r="K102" s="6" t="str">
        <x:v>相对原结构锚点新增/修改荷载分布：x=1.5m另有向下12kN点力，跨中追加/撤销操作不触及该点力</x:v>
      </x:c>
      <x:c r="L102" s="6" t="str">
        <x:v>基础工具</x:v>
      </x:c>
      <x:c r="M102" s="6" t="str">
        <x:v>逐字段材料/截面数值及单位；完整支承自由度、荷载坐标与结果观测点</x:v>
      </x:c>
      <x:c r="N102" s="6" t="str">
        <x:v>独立规划骨架；可执行模型/数值真值待生成</x:v>
      </x:c>
      <x:c r="O102" s="30" t="n">
        <x:f>COUNTIFS('300题规划'!$C$2:$C$301,A102)</x:f>
        <x:v>1</x:v>
      </x:c>
      <x:c r="P102" s="5" t="str">
        <x:f>INDEX('300题规划'!$Y$2:$Y$301,MATCH(B102,'300题规划'!$A$2:$A$301,0))</x:f>
        <x:v>OpenSees</x:v>
      </x:c>
      <x:c r="Q102" s="5" t="str">
        <x:f>INDEX('300题规划'!$AB$2:$AB$301,MATCH(B102,'300题规划'!$A$2:$A$301,0))</x:f>
        <x:v>待逐题验证</x:v>
      </x:c>
    </x:row>
    <x:row r="103" ht="52.5" customHeight="1">
      <x:c r="A103" s="27" t="str">
        <x:v>M-INT-002</x:v>
      </x:c>
      <x:c r="B103" s="11" t="str">
        <x:v>INT-002</x:v>
      </x:c>
      <x:c r="C103" s="11" t="str">
        <x:v>端竖力与端轴力悬臂梁</x:v>
      </x:c>
      <x:c r="D103" s="11" t="str">
        <x:v>梁</x:v>
      </x:c>
      <x:c r="E103" s="11" t="str">
        <x:v>2D</x:v>
      </x:c>
      <x:c r="F103" s="11" t="str">
        <x:v>L2</x:v>
      </x:c>
      <x:c r="G103" s="11" t="str">
        <x:v>跨度3m，左固支，右端向下10kN；自由端另有全局X正向5kN轴向力，与待澄清竖向力独立；支承：x=0固支、x=3m自由。</x:v>
      </x:c>
      <x:c r="H103" s="11" t="str">
        <x:v>固端与自由端不能互换；荷载分量需与交互状态独立保持</x:v>
      </x:c>
      <x:c r="I103" s="11" t="str">
        <x:v>beam-cantilever-point-load</x:v>
      </x:c>
      <x:c r="J103" s="11" t="str">
        <x:v>beam-cantilever-3m-point10</x:v>
      </x:c>
      <x:c r="K103" s="11" t="str">
        <x:v>相对原结构锚点新增/修改荷载分量：自由端另有全局X正向5kN轴向力，与待澄清竖向力独立</x:v>
      </x:c>
      <x:c r="L103" s="11" t="str">
        <x:v>基础工具</x:v>
      </x:c>
      <x:c r="M103" s="11" t="str">
        <x:v>逐字段材料/截面数值及单位；完整支承自由度、荷载坐标与结果观测点</x:v>
      </x:c>
      <x:c r="N103" s="11" t="str">
        <x:v>独立规划骨架；可执行模型/数值真值待生成</x:v>
      </x:c>
      <x:c r="O103" s="30" t="n">
        <x:f>COUNTIFS('300题规划'!$C$2:$C$301,A103)</x:f>
        <x:v>1</x:v>
      </x:c>
      <x:c r="P103" s="5" t="str">
        <x:f>INDEX('300题规划'!$Y$2:$Y$301,MATCH(B103,'300题规划'!$A$2:$A$301,0))</x:f>
        <x:v>OpenSees</x:v>
      </x:c>
      <x:c r="Q103" s="5" t="str">
        <x:f>INDEX('300题规划'!$AB$2:$AB$301,MATCH(B103,'300题规划'!$A$2:$A$301,0))</x:f>
        <x:v>待逐题验证</x:v>
      </x:c>
    </x:row>
    <x:row r="104" ht="52.5" customHeight="1">
      <x:c r="A104" s="28" t="str">
        <x:v>M-INT-003</x:v>
      </x:c>
      <x:c r="B104" s="6" t="str">
        <x:v>INT-003</x:v>
      </x:c>
      <x:c r="C104" s="6" t="str">
        <x:v>外伸段较柔的双截面梁</x:v>
      </x:c>
      <x:c r="D104" s="6" t="str">
        <x:v>梁</x:v>
      </x:c>
      <x:c r="E104" s="6" t="str">
        <x:v>2D</x:v>
      </x:c>
      <x:c r="F104" s="6" t="str">
        <x:v>L2</x:v>
      </x:c>
      <x:c r="G104" s="6" t="str">
        <x:v>支座x=0、5m，右端x=6.5m，全长向下15kN/m，观测x=3.25m和外伸端；0～5m用B1，5～6.5m外伸段用B2，B2的E/A不变、Iy和Iz均为B1的一半；支承：x=0铰、x=5m滚支、右自由端x=6.5m。</x:v>
      </x:c>
      <x:c r="H104" s="6" t="str">
        <x:v>全长中点与支承跨中不同；截面分组需与交互状态独立保持</x:v>
      </x:c>
      <x:c r="I104" s="6" t="str">
        <x:v>beam-overhanging-static</x:v>
      </x:c>
      <x:c r="J104" s="6" t="str">
        <x:v>beam-overhang-5m-1p5m-udl15</x:v>
      </x:c>
      <x:c r="K104" s="6" t="str">
        <x:v>相对原结构锚点新增/修改截面分组：0～5m用B1，5～6.5m外伸段用B2，B2的E/A不变、Iy和Iz均为B1的一半</x:v>
      </x:c>
      <x:c r="L104" s="6" t="str">
        <x:v>基础工具</x:v>
      </x:c>
      <x:c r="M104" s="6" t="str">
        <x:v>逐字段材料/截面数值及单位；完整支承自由度、荷载坐标与结果观测点</x:v>
      </x:c>
      <x:c r="N104" s="6" t="str">
        <x:v>独立规划骨架；可执行模型/数值真值待生成</x:v>
      </x:c>
      <x:c r="O104" s="30" t="n">
        <x:f>COUNTIFS('300题规划'!$C$2:$C$301,A104)</x:f>
        <x:v>1</x:v>
      </x:c>
      <x:c r="P104" s="5" t="str">
        <x:f>INDEX('300题规划'!$Y$2:$Y$301,MATCH(B104,'300题规划'!$A$2:$A$301,0))</x:f>
        <x:v>OpenSees</x:v>
      </x:c>
      <x:c r="Q104" s="5" t="str">
        <x:f>INDEX('300题规划'!$AB$2:$AB$301,MATCH(B104,'300题规划'!$A$2:$A$301,0))</x:f>
        <x:v>待逐题验证</x:v>
      </x:c>
    </x:row>
    <x:row r="105" ht="52.5" customHeight="1">
      <x:c r="A105" s="27" t="str">
        <x:v>M-INT-004</x:v>
      </x:c>
      <x:c r="B105" s="11" t="str">
        <x:v>INT-004</x:v>
      </x:c>
      <x:c r="C105" s="11" t="str">
        <x:v>仅左九米均布的偏心点载梁</x:v>
      </x:c>
      <x:c r="D105" s="11" t="str">
        <x:v>梁</x:v>
      </x:c>
      <x:c r="E105" s="11" t="str">
        <x:v>2D</x:v>
      </x:c>
      <x:c r="F105" s="11" t="str">
        <x:v>L2</x:v>
      </x:c>
      <x:c r="G105" s="11" t="str">
        <x:v>跨度12m，左铰右滚，x=0～9m均布载15kN/m，x=4m处向下50kN，观测跨中；15kN/m均布载只作用x=0～9m，x=9～12m无均布载，x=4m的50kN仍保留；支承：x=0铰、x=12m滚支。</x:v>
      </x:c>
      <x:c r="H105" s="11" t="str">
        <x:v>点载位置与观测位置分离；荷载分布需与交互状态独立保持</x:v>
      </x:c>
      <x:c r="I105" s="11" t="str">
        <x:v>std-beam-12m-combo-gt</x:v>
      </x:c>
      <x:c r="J105" s="11" t="str">
        <x:v>beam-complex-12m</x:v>
      </x:c>
      <x:c r="K105" s="11" t="str">
        <x:v>相对原结构锚点新增/修改荷载分布：15kN/m均布载只作用x=0～9m，x=9～12m无均布载，x=4m的50kN仍保留</x:v>
      </x:c>
      <x:c r="L105" s="11" t="str">
        <x:v>基础工具</x:v>
      </x:c>
      <x:c r="M105" s="11" t="str">
        <x:v>逐字段材料/截面数值及单位；完整支承自由度、荷载坐标与结果观测点</x:v>
      </x:c>
      <x:c r="N105" s="11" t="str">
        <x:v>独立规划骨架；可执行模型/数值真值待生成</x:v>
      </x:c>
      <x:c r="O105" s="30" t="n">
        <x:f>COUNTIFS('300题规划'!$C$2:$C$301,A105)</x:f>
        <x:v>1</x:v>
      </x:c>
      <x:c r="P105" s="5" t="str">
        <x:f>INDEX('300题规划'!$Y$2:$Y$301,MATCH(B105,'300题规划'!$A$2:$A$301,0))</x:f>
        <x:v>OpenSees</x:v>
      </x:c>
      <x:c r="Q105" s="5" t="str">
        <x:f>INDEX('300题规划'!$AB$2:$AB$301,MATCH(B105,'300题规划'!$A$2:$A$301,0))</x:f>
        <x:v>待逐题验证</x:v>
      </x:c>
    </x:row>
    <x:row r="106" ht="52.5" customHeight="1">
      <x:c r="A106" s="28" t="str">
        <x:v>M-INT-005</x:v>
      </x:c>
      <x:c r="B106" s="6" t="str">
        <x:v>INT-005</x:v>
      </x:c>
      <x:c r="C106" s="6" t="str">
        <x:v>支座力矩与跨中点力梁</x:v>
      </x:c>
      <x:c r="D106" s="6" t="str">
        <x:v>梁</x:v>
      </x:c>
      <x:c r="E106" s="6" t="str">
        <x:v>2D</x:v>
      </x:c>
      <x:c r="F106" s="6" t="str">
        <x:v>L2</x:v>
      </x:c>
      <x:c r="G106" s="6" t="str">
        <x:v>跨度4m，跨中向下25kN，左铰右滚；左支座节点另施加全局Y正向10kN·m外力矩，按右手规则；支承：x=0铰、x=4m滚支。</x:v>
      </x:c>
      <x:c r="H106" s="6" t="str">
        <x:v>集中力节点必须连接两侧单元；荷载类型需与交互状态独立保持</x:v>
      </x:c>
      <x:c r="I106" s="6" t="str">
        <x:v>std-beam-4m-point-mid</x:v>
      </x:c>
      <x:c r="J106" s="6" t="str">
        <x:v>beam-simple-4m-point25</x:v>
      </x:c>
      <x:c r="K106" s="6" t="str">
        <x:v>相对原结构锚点新增/修改荷载类型：左支座节点另施加全局Y正向10kN·m外力矩，按右手规则</x:v>
      </x:c>
      <x:c r="L106" s="6" t="str">
        <x:v>基础工具；节点力矩输入需验证</x:v>
      </x:c>
      <x:c r="M106" s="6" t="str">
        <x:v>逐字段材料/截面数值及单位；完整支承自由度、荷载坐标与结果观测点</x:v>
      </x:c>
      <x:c r="N106" s="6" t="str">
        <x:v>独立规划骨架；可执行模型/数值真值待生成</x:v>
      </x:c>
      <x:c r="O106" s="30" t="n">
        <x:f>COUNTIFS('300题规划'!$C$2:$C$301,A106)</x:f>
        <x:v>1</x:v>
      </x:c>
      <x:c r="P106" s="5" t="str">
        <x:f>INDEX('300题规划'!$Y$2:$Y$301,MATCH(B106,'300题规划'!$A$2:$A$301,0))</x:f>
        <x:v>OpenSees</x:v>
      </x:c>
      <x:c r="Q106" s="5" t="str">
        <x:f>INDEX('300题规划'!$AB$2:$AB$301,MATCH(B106,'300题规划'!$A$2:$A$301,0))</x:f>
        <x:v>待逐题验证</x:v>
      </x:c>
    </x:row>
    <x:row r="107" ht="52.5" customHeight="1">
      <x:c r="A107" s="27" t="str">
        <x:v>M-INT-006</x:v>
      </x:c>
      <x:c r="B107" s="11" t="str">
        <x:v>INT-006</x:v>
      </x:c>
      <x:c r="C107" s="11" t="str">
        <x:v>左右半跨不同截面的均布梁</x:v>
      </x:c>
      <x:c r="D107" s="11" t="str">
        <x:v>梁</x:v>
      </x:c>
      <x:c r="E107" s="11" t="str">
        <x:v>2D</x:v>
      </x:c>
      <x:c r="F107" s="11" t="str">
        <x:v>L2</x:v>
      </x:c>
      <x:c r="G107" s="11" t="str">
        <x:v>跨度8m，向下18kN/m，左铰右滚，输出跨中挠度和反力；梁左半跨B1、右半跨B2；B2的Iy/Iz是B1的1.5倍、其余属性相同；分界随当前L/2移动；支承：初始x=0铰、x=8m滚支。</x:v>
      </x:c>
      <x:c r="H107" s="11" t="str">
        <x:v>模型与输出单位位置一致；截面分组需与交互状态独立保持</x:v>
      </x:c>
      <x:c r="I107" s="11" t="str">
        <x:v>beam-static-with-report</x:v>
      </x:c>
      <x:c r="J107" s="11" t="str">
        <x:v>beam-simple-8m-udl18</x:v>
      </x:c>
      <x:c r="K107" s="11" t="str">
        <x:v>相对原结构锚点新增/修改截面分组：梁左半跨B1、右半跨B2；B2的Iy/Iz是B1的1.5倍、其余属性相同；分界随当前L/2移动</x:v>
      </x:c>
      <x:c r="L107" s="11" t="str">
        <x:v>基础工具</x:v>
      </x:c>
      <x:c r="M107" s="11" t="str">
        <x:v>逐字段材料/截面数值及单位；完整支承自由度、荷载坐标与结果观测点</x:v>
      </x:c>
      <x:c r="N107" s="11" t="str">
        <x:v>独立规划骨架；可执行模型/数值真值待生成</x:v>
      </x:c>
      <x:c r="O107" s="30" t="n">
        <x:f>COUNTIFS('300题规划'!$C$2:$C$301,A107)</x:f>
        <x:v>1</x:v>
      </x:c>
      <x:c r="P107" s="5" t="str">
        <x:f>INDEX('300题规划'!$Y$2:$Y$301,MATCH(B107,'300题规划'!$A$2:$A$301,0))</x:f>
        <x:v>OpenSees</x:v>
      </x:c>
      <x:c r="Q107" s="5" t="str">
        <x:f>INDEX('300题规划'!$AB$2:$AB$301,MATCH(B107,'300题规划'!$A$2:$A$301,0))</x:f>
        <x:v>待逐题验证</x:v>
      </x:c>
    </x:row>
    <x:row r="108" ht="52.5" customHeight="1">
      <x:c r="A108" s="28" t="str">
        <x:v>M-INT-007</x:v>
      </x:c>
      <x:c r="B108" s="6" t="str">
        <x:v>INT-007</x:v>
      </x:c>
      <x:c r="C108" s="6" t="str">
        <x:v>左侧带外伸的八米支承跨梁</x:v>
      </x:c>
      <x:c r="D108" s="6" t="str">
        <x:v>梁</x:v>
      </x:c>
      <x:c r="E108" s="6" t="str">
        <x:v>2D</x:v>
      </x:c>
      <x:c r="F108" s="6" t="str">
        <x:v>L2</x:v>
      </x:c>
      <x:c r="G108" s="6" t="str">
        <x:v>跨度8m，向下15kN/m，左铰右滚；支座仍x=0、8m，但梁左端延至x=-2m；补齐荷载后全长-2～8m均承受15kN/m；支承：x=0铰、x=8m滚支；左自由端x=-2m。</x:v>
      </x:c>
      <x:c r="H108" s="6" t="str">
        <x:v>材料截面显式提供，避免隐含默认值；拓扑需与交互状态独立保持</x:v>
      </x:c>
      <x:c r="I108" s="6" t="str">
        <x:v>beam-simply-supported-en</x:v>
      </x:c>
      <x:c r="J108" s="6" t="str">
        <x:v>beam-simple-8m-udl15</x:v>
      </x:c>
      <x:c r="K108" s="6" t="str">
        <x:v>相对原结构锚点新增/修改拓扑：支座仍x=0、8m，但梁左端延至x=-2m；补齐荷载后全长-2～8m均承受15kN/m</x:v>
      </x:c>
      <x:c r="L108" s="6" t="str">
        <x:v>基础工具</x:v>
      </x:c>
      <x:c r="M108" s="6" t="str">
        <x:v>逐字段材料/截面数值及单位；完整支承自由度、荷载坐标与结果观测点</x:v>
      </x:c>
      <x:c r="N108" s="6" t="str">
        <x:v>独立规划骨架；可执行模型/数值真值待生成</x:v>
      </x:c>
      <x:c r="O108" s="30" t="n">
        <x:f>COUNTIFS('300题规划'!$C$2:$C$301,A108)</x:f>
        <x:v>1</x:v>
      </x:c>
      <x:c r="P108" s="5" t="str">
        <x:f>INDEX('300题规划'!$Y$2:$Y$301,MATCH(B108,'300题规划'!$A$2:$A$301,0))</x:f>
        <x:v>OpenSees</x:v>
      </x:c>
      <x:c r="Q108" s="5" t="str">
        <x:f>INDEX('300题规划'!$AB$2:$AB$301,MATCH(B108,'300题规划'!$A$2:$A$301,0))</x:f>
        <x:v>待逐题验证</x:v>
      </x:c>
    </x:row>
    <x:row r="109" ht="52.5" customHeight="1">
      <x:c r="A109" s="27" t="str">
        <x:v>M-INT-008</x:v>
      </x:c>
      <x:c r="B109" s="11" t="str">
        <x:v>INT-008</x:v>
      </x:c>
      <x:c r="C109" s="11" t="str">
        <x:v>局部加载的左固右撑梁</x:v>
      </x:c>
      <x:c r="D109" s="11" t="str">
        <x:v>梁</x:v>
      </x:c>
      <x:c r="E109" s="11" t="str">
        <x:v>2D</x:v>
      </x:c>
      <x:c r="F109" s="11" t="str">
        <x:v>L2</x:v>
      </x:c>
      <x:c r="G109" s="11" t="str">
        <x:v>跨度9m，左固支右竖向滚支，仅x=2至7m向下12kN/m；左端固定、右端仅竖向滚支，保留9m全长和局部均布载；支承：x=0固支、x=9m竖向滚支。</x:v>
      </x:c>
      <x:c r="H109" s="11" t="str">
        <x:v>加载区间端点必须正确分段；边界需与交互状态独立保持</x:v>
      </x:c>
      <x:c r="I109" s="11" t="str">
        <x:v>无</x:v>
      </x:c>
      <x:c r="J109" s="11" t="str">
        <x:v>无</x:v>
      </x:c>
      <x:c r="K109" s="11" t="str">
        <x:v>相对原结构锚点新增/修改边界：左端固定、右端仅竖向滚支，保留9m全长和局部均布载</x:v>
      </x:c>
      <x:c r="L109" s="11" t="str">
        <x:v>基础工具</x:v>
      </x:c>
      <x:c r="M109" s="11" t="str">
        <x:v>逐字段材料/截面数值及单位；完整支承自由度、荷载坐标与结果观测点</x:v>
      </x:c>
      <x:c r="N109" s="11" t="str">
        <x:v>独立规划骨架；可执行模型/数值真值待生成</x:v>
      </x:c>
      <x:c r="O109" s="30" t="n">
        <x:f>COUNTIFS('300题规划'!$C$2:$C$301,A109)</x:f>
        <x:v>1</x:v>
      </x:c>
      <x:c r="P109" s="5" t="str">
        <x:f>INDEX('300题规划'!$Y$2:$Y$301,MATCH(B109,'300题规划'!$A$2:$A$301,0))</x:f>
        <x:v>OpenSees</x:v>
      </x:c>
      <x:c r="Q109" s="5" t="str">
        <x:f>INDEX('300题规划'!$AB$2:$AB$301,MATCH(B109,'300题规划'!$A$2:$A$301,0))</x:f>
        <x:v>待逐题验证</x:v>
      </x:c>
    </x:row>
    <x:row r="110" ht="52.5" customHeight="1">
      <x:c r="A110" s="28" t="str">
        <x:v>M-INT-009</x:v>
      </x:c>
      <x:c r="B110" s="6" t="str">
        <x:v>INT-009</x:v>
      </x:c>
      <x:c r="C110" s="6" t="str">
        <x:v>非对称双点载两端固支梁</x:v>
      </x:c>
      <x:c r="D110" s="6" t="str">
        <x:v>梁</x:v>
      </x:c>
      <x:c r="E110" s="6" t="str">
        <x:v>2D</x:v>
      </x:c>
      <x:c r="F110" s="6" t="str">
        <x:v>L3</x:v>
      </x:c>
      <x:c r="G110" s="6" t="str">
        <x:v>跨度10m，x=2m向下30kN、x=7m向下45kN，两端固支；两端均固定，两个点力仍分别在x=2和7m；支承：x=0和10m均固定。</x:v>
      </x:c>
      <x:c r="H110" s="6" t="str">
        <x:v>两个荷载位置和数值不可串用；边界需与交互状态独立保持</x:v>
      </x:c>
      <x:c r="I110" s="6" t="str">
        <x:v>无</x:v>
      </x:c>
      <x:c r="J110" s="6" t="str">
        <x:v>无</x:v>
      </x:c>
      <x:c r="K110" s="6" t="str">
        <x:v>相对原结构锚点新增/修改边界：两端均固定，两个点力仍分别在x=2和7m</x:v>
      </x:c>
      <x:c r="L110" s="6" t="str">
        <x:v>基础工具</x:v>
      </x:c>
      <x:c r="M110" s="6" t="str">
        <x:v>逐字段材料/截面数值及单位；完整支承自由度、荷载坐标与结果观测点</x:v>
      </x:c>
      <x:c r="N110" s="6" t="str">
        <x:v>独立规划骨架；可执行模型/数值真值待生成</x:v>
      </x:c>
      <x:c r="O110" s="30" t="n">
        <x:f>COUNTIFS('300题规划'!$C$2:$C$301,A110)</x:f>
        <x:v>1</x:v>
      </x:c>
      <x:c r="P110" s="5" t="str">
        <x:f>INDEX('300题规划'!$Y$2:$Y$301,MATCH(B110,'300题规划'!$A$2:$A$301,0))</x:f>
        <x:v>OpenSees</x:v>
      </x:c>
      <x:c r="Q110" s="5" t="str">
        <x:f>INDEX('300题规划'!$AB$2:$AB$301,MATCH(B110,'300题规划'!$A$2:$A$301,0))</x:f>
        <x:v>待逐题验证</x:v>
      </x:c>
    </x:row>
    <x:row r="111" ht="52.5" customHeight="1">
      <x:c r="A111" s="27" t="str">
        <x:v>M-INT-010</x:v>
      </x:c>
      <x:c r="B111" s="11" t="str">
        <x:v>INT-010</x:v>
      </x:c>
      <x:c r="C111" s="11" t="str">
        <x:v>左右刚度不同的固端分工况梁</x:v>
      </x:c>
      <x:c r="D111" s="11" t="str">
        <x:v>梁</x:v>
      </x:c>
      <x:c r="E111" s="11" t="str">
        <x:v>2D</x:v>
      </x:c>
      <x:c r="F111" s="11" t="str">
        <x:v>L2</x:v>
      </x:c>
      <x:c r="G111" s="11" t="str">
        <x:v>跨度8m，两端固支，D为全跨8kN/m，L仅左半跨6kN/m；左半跨B1、右半跨B2，B2的Iy/Iz为B1的两倍，其余属性相同；支承：x=0和8m均固定。</x:v>
      </x:c>
      <x:c r="H111" s="11" t="str">
        <x:v>边界约束与荷载工况分离；截面分组需与交互状态独立保持</x:v>
      </x:c>
      <x:c r="I111" s="11" t="str">
        <x:v>无</x:v>
      </x:c>
      <x:c r="J111" s="11" t="str">
        <x:v>无</x:v>
      </x:c>
      <x:c r="K111" s="11" t="str">
        <x:v>相对原结构锚点新增/修改截面分组：左半跨B1、右半跨B2，B2的Iy/Iz为B1的两倍，其余属性相同</x:v>
      </x:c>
      <x:c r="L111" s="11" t="str">
        <x:v>基础工具；多工况及新增/保留组合的执行契约需验证</x:v>
      </x:c>
      <x:c r="M111" s="11" t="str">
        <x:v>逐字段材料/截面数值及单位；完整支承自由度、荷载坐标与结果观测点；完整工况/组合系数表</x:v>
      </x:c>
      <x:c r="N111" s="11" t="str">
        <x:v>独立规划骨架；可执行模型/数值真值待生成</x:v>
      </x:c>
      <x:c r="O111" s="30" t="n">
        <x:f>COUNTIFS('300题规划'!$C$2:$C$301,A111)</x:f>
        <x:v>1</x:v>
      </x:c>
      <x:c r="P111" s="5" t="str">
        <x:f>INDEX('300题规划'!$Y$2:$Y$301,MATCH(B111,'300题规划'!$A$2:$A$301,0))</x:f>
        <x:v>OpenSees</x:v>
      </x:c>
      <x:c r="Q111" s="5" t="str">
        <x:f>INDEX('300题规划'!$AB$2:$AB$301,MATCH(B111,'300题规划'!$A$2:$A$301,0))</x:f>
        <x:v>待逐题验证</x:v>
      </x:c>
    </x:row>
    <x:row r="112" ht="52.5" customHeight="1">
      <x:c r="A112" s="28" t="str">
        <x:v>M-INT-011</x:v>
      </x:c>
      <x:c r="B112" s="6" t="str">
        <x:v>INT-011</x:v>
      </x:c>
      <x:c r="C112" s="6" t="str">
        <x:v>端部加粗的撑杆梁</x:v>
      </x:c>
      <x:c r="D112" s="6" t="str">
        <x:v>梁</x:v>
      </x:c>
      <x:c r="E112" s="6" t="str">
        <x:v>2D</x:v>
      </x:c>
      <x:c r="F112" s="6" t="str">
        <x:v>L2</x:v>
      </x:c>
      <x:c r="G112" s="6" t="str">
        <x:v>跨度7m，左固支右竖向滚支，全跨10kN/m，x=5m处20kN；0～5m用B1、5～7m用B2；B2面积及两弯曲惯性矩均为B1的1.8倍；支承：x=0固定、x=7m竖向滚支。</x:v>
      </x:c>
      <x:c r="H112" s="6" t="str">
        <x:v>固支加滚支不能误作普通简支；截面分组需与交互状态独立保持</x:v>
      </x:c>
      <x:c r="I112" s="6" t="str">
        <x:v>无</x:v>
      </x:c>
      <x:c r="J112" s="6" t="str">
        <x:v>无</x:v>
      </x:c>
      <x:c r="K112" s="6" t="str">
        <x:v>相对原结构锚点新增/修改截面分组：0～5m用B1、5～7m用B2；B2面积及两弯曲惯性矩均为B1的1.8倍</x:v>
      </x:c>
      <x:c r="L112" s="6" t="str">
        <x:v>基础工具</x:v>
      </x:c>
      <x:c r="M112" s="6" t="str">
        <x:v>逐字段材料/截面数值及单位；完整支承自由度、荷载坐标与结果观测点</x:v>
      </x:c>
      <x:c r="N112" s="6" t="str">
        <x:v>独立规划骨架；可执行模型/数值真值待生成</x:v>
      </x:c>
      <x:c r="O112" s="30" t="n">
        <x:f>COUNTIFS('300题规划'!$C$2:$C$301,A112)</x:f>
        <x:v>1</x:v>
      </x:c>
      <x:c r="P112" s="5" t="str">
        <x:f>INDEX('300题规划'!$Y$2:$Y$301,MATCH(B112,'300题规划'!$A$2:$A$301,0))</x:f>
        <x:v>OpenSees</x:v>
      </x:c>
      <x:c r="Q112" s="5" t="str">
        <x:f>INDEX('300题规划'!$AB$2:$AB$301,MATCH(B112,'300题规划'!$A$2:$A$301,0))</x:f>
        <x:v>待逐题验证</x:v>
      </x:c>
    </x:row>
    <x:row r="113" ht="54" customHeight="1">
      <x:c r="A113" s="27" t="str">
        <x:v>M-INT-012</x:v>
      </x:c>
      <x:c r="B113" s="11" t="str">
        <x:v>INT-012</x:v>
      </x:c>
      <x:c r="C113" s="11" t="str">
        <x:v>竖向点力及水平端力的倾斜梁</x:v>
      </x:c>
      <x:c r="D113" s="11" t="str">
        <x:v>梁</x:v>
      </x:c>
      <x:c r="E113" s="11" t="str">
        <x:v>2D</x:v>
      </x:c>
      <x:c r="F113" s="11" t="str">
        <x:v>L3</x:v>
      </x:c>
      <x:c r="G113" s="11" t="str">
        <x:v>端点(0,0)和(6,3)m，左固支右自由，按水平投影位置给一个竖直集中力；斜梁自由端另有全局X正向8kN；主20kN竖向点力设在水平投影x=3m；支承：(x,z)=(0,0)固定、(6,3)m自由；主竖向集中力初始20kN，作用点(3,1.5)m，方向全局Z负向。</x:v>
      </x:c>
      <x:c r="H113" s="11" t="str">
        <x:v>全局方向与杆件方向的区别；荷载分量需与交互状态独立保持</x:v>
      </x:c>
      <x:c r="I113" s="11" t="str">
        <x:v>无</x:v>
      </x:c>
      <x:c r="J113" s="11" t="str">
        <x:v>无</x:v>
      </x:c>
      <x:c r="K113" s="11" t="str">
        <x:v>相对原结构锚点新增/修改荷载分量：斜梁自由端另有全局X正向8kN；主20kN竖向点力设在水平投影x=3m</x:v>
      </x:c>
      <x:c r="L113" s="11" t="str">
        <x:v>斜杆荷载与局部轴需验证</x:v>
      </x:c>
      <x:c r="M113" s="11" t="str">
        <x:v>逐字段材料/截面数值及单位；完整支承自由度、荷载坐标与结果观测点</x:v>
      </x:c>
      <x:c r="N113" s="11" t="str">
        <x:v>独立规划骨架；可执行模型/数值真值待生成</x:v>
      </x:c>
      <x:c r="O113" s="30" t="n">
        <x:f>COUNTIFS('300题规划'!$C$2:$C$301,A113)</x:f>
        <x:v>1</x:v>
      </x:c>
      <x:c r="P113" s="5" t="str">
        <x:f>INDEX('300题规划'!$Y$2:$Y$301,MATCH(B113,'300题规划'!$A$2:$A$301,0))</x:f>
        <x:v>OpenSees</x:v>
      </x:c>
      <x:c r="Q113" s="5" t="str">
        <x:f>INDEX('300题规划'!$AB$2:$AB$301,MATCH(B113,'300题规划'!$A$2:$A$301,0))</x:f>
        <x:v>待逐题验证</x:v>
      </x:c>
    </x:row>
    <x:row r="114" ht="52.5" customHeight="1">
      <x:c r="A114" s="28" t="str">
        <x:v>M-INT-013</x:v>
      </x:c>
      <x:c r="B114" s="6" t="str">
        <x:v>INT-013</x:v>
      </x:c>
      <x:c r="C114" s="6" t="str">
        <x:v>三段截面梁附加左支座节点力</x:v>
      </x:c>
      <x:c r="D114" s="6" t="str">
        <x:v>梁</x:v>
      </x:c>
      <x:c r="E114" s="6" t="str">
        <x:v>2D</x:v>
      </x:c>
      <x:c r="F114" s="6" t="str">
        <x:v>L2</x:v>
      </x:c>
      <x:c r="G114" s="6" t="str">
        <x:v>跨度9m，0至3m用B1、3至6m用B2、6至9m用B3，向下12kN/m；左支座另施加向下15kN节点力，与梁身12kN/m属同工况；支承：x=0铰、x=9m滚支。</x:v>
      </x:c>
      <x:c r="H114" s="6" t="str">
        <x:v>分段截面赋值和共节点连续性；荷载位置需与交互状态独立保持</x:v>
      </x:c>
      <x:c r="I114" s="6" t="str">
        <x:v>无</x:v>
      </x:c>
      <x:c r="J114" s="6" t="str">
        <x:v>无</x:v>
      </x:c>
      <x:c r="K114" s="6" t="str">
        <x:v>相对原结构锚点新增/修改荷载位置：左支座另施加向下15kN节点力，与梁身12kN/m属同工况</x:v>
      </x:c>
      <x:c r="L114" s="6" t="str">
        <x:v>基础工具</x:v>
      </x:c>
      <x:c r="M114" s="6" t="str">
        <x:v>逐字段材料/截面数值及单位；完整支承自由度、荷载坐标与结果观测点</x:v>
      </x:c>
      <x:c r="N114" s="6" t="str">
        <x:v>独立规划骨架；可执行模型/数值真值待生成</x:v>
      </x:c>
      <x:c r="O114" s="30" t="n">
        <x:f>COUNTIFS('300题规划'!$C$2:$C$301,A114)</x:f>
        <x:v>1</x:v>
      </x:c>
      <x:c r="P114" s="5" t="str">
        <x:f>INDEX('300题规划'!$Y$2:$Y$301,MATCH(B114,'300题规划'!$A$2:$A$301,0))</x:f>
        <x:v>OpenSees</x:v>
      </x:c>
      <x:c r="Q114" s="5" t="str">
        <x:f>INDEX('300题规划'!$AB$2:$AB$301,MATCH(B114,'300题规划'!$A$2:$A$301,0))</x:f>
        <x:v>待逐题验证</x:v>
      </x:c>
    </x:row>
    <x:row r="115" ht="52.5" customHeight="1">
      <x:c r="A115" s="27" t="str">
        <x:v>M-INT-014</x:v>
      </x:c>
      <x:c r="B115" s="11" t="str">
        <x:v>INT-014</x:v>
      </x:c>
      <x:c r="C115" s="11" t="str">
        <x:v>材料分段梁带端部力矩</x:v>
      </x:c>
      <x:c r="D115" s="11" t="str">
        <x:v>梁</x:v>
      </x:c>
      <x:c r="E115" s="11" t="str">
        <x:v>2D</x:v>
      </x:c>
      <x:c r="F115" s="11" t="str">
        <x:v>L3</x:v>
      </x:c>
      <x:c r="G115" s="11" t="str">
        <x:v>跨度10m，x=4m处分材料组，x=2至8m向下9kN/m，x=6m处25kN；右端节点另施加全局Y负向8kN·m，主均布区和x=6m点力保持；支承：x=0铰、x=10m滚支。</x:v>
      </x:c>
      <x:c r="H115" s="11" t="str">
        <x:v>材料、分段、点载和加载区间需联合映射；荷载类型需与交互状态独立保持</x:v>
      </x:c>
      <x:c r="I115" s="11" t="str">
        <x:v>无</x:v>
      </x:c>
      <x:c r="J115" s="11" t="str">
        <x:v>无</x:v>
      </x:c>
      <x:c r="K115" s="11" t="str">
        <x:v>相对原结构锚点新增/修改荷载类型：右端节点另施加全局Y负向8kN·m，主均布区和x=6m点力保持</x:v>
      </x:c>
      <x:c r="L115" s="11" t="str">
        <x:v>基础工具；节点力矩输入需验证</x:v>
      </x:c>
      <x:c r="M115" s="11" t="str">
        <x:v>逐字段材料/截面数值及单位；完整支承自由度、荷载坐标与结果观测点</x:v>
      </x:c>
      <x:c r="N115" s="11" t="str">
        <x:v>独立规划骨架；可执行模型/数值真值待生成</x:v>
      </x:c>
      <x:c r="O115" s="30" t="n">
        <x:f>COUNTIFS('300题规划'!$C$2:$C$301,A115)</x:f>
        <x:v>1</x:v>
      </x:c>
      <x:c r="P115" s="5" t="str">
        <x:f>INDEX('300题规划'!$Y$2:$Y$301,MATCH(B115,'300题规划'!$A$2:$A$301,0))</x:f>
        <x:v>OpenSees</x:v>
      </x:c>
      <x:c r="Q115" s="5" t="str">
        <x:f>INDEX('300题规划'!$AB$2:$AB$301,MATCH(B115,'300题规划'!$A$2:$A$301,0))</x:f>
        <x:v>待逐题验证</x:v>
      </x:c>
    </x:row>
    <x:row r="116" ht="52.5" customHeight="1">
      <x:c r="A116" s="28" t="str">
        <x:v>M-INT-015</x:v>
      </x:c>
      <x:c r="B116" s="6" t="str">
        <x:v>INT-015</x:v>
      </x:c>
      <x:c r="C116" s="6" t="str">
        <x:v>第二跨有偏置点载的连续梁</x:v>
      </x:c>
      <x:c r="D116" s="6" t="str">
        <x:v>连续梁</x:v>
      </x:c>
      <x:c r="E116" s="6" t="str">
        <x:v>2D</x:v>
      </x:c>
      <x:c r="F116" s="6" t="str">
        <x:v>L2</x:v>
      </x:c>
      <x:c r="G116" s="6" t="str">
        <x:v>支座x=0、5、11m，左铰其余滚支，全梁12kN/m；第二跨距中支座2m处另向下18kN，位置随第二跨补齐为全球x=7m；支承：x=0铰、x=5/11m滚支。</x:v>
      </x:c>
      <x:c r="H116" s="6" t="str">
        <x:v>中间支座不意味着梁断开；荷载分布需与交互状态独立保持</x:v>
      </x:c>
      <x:c r="I116" s="6" t="str">
        <x:v>double-span-beam-static</x:v>
      </x:c>
      <x:c r="J116" s="6" t="str">
        <x:v>dspan-simple-5-6</x:v>
      </x:c>
      <x:c r="K116" s="6" t="str">
        <x:v>相对原结构锚点新增/修改荷载分布：第二跨距中支座2m处另向下18kN，位置随第二跨补齐为全球x=7m</x:v>
      </x:c>
      <x:c r="L116" s="6" t="str">
        <x:v>基础工具</x:v>
      </x:c>
      <x:c r="M116" s="6" t="str">
        <x:v>逐字段材料/截面数值及单位；完整支承自由度、荷载坐标与结果观测点</x:v>
      </x:c>
      <x:c r="N116" s="6" t="str">
        <x:v>独立规划骨架；可执行模型/数值真值待生成</x:v>
      </x:c>
      <x:c r="O116" s="30" t="n">
        <x:f>COUNTIFS('300题规划'!$C$2:$C$301,A116)</x:f>
        <x:v>1</x:v>
      </x:c>
      <x:c r="P116" s="5" t="str">
        <x:f>INDEX('300题规划'!$Y$2:$Y$301,MATCH(B116,'300题规划'!$A$2:$A$301,0))</x:f>
        <x:v>OpenSees</x:v>
      </x:c>
      <x:c r="Q116" s="5" t="str">
        <x:f>INDEX('300题规划'!$AB$2:$AB$301,MATCH(B116,'300题规划'!$A$2:$A$301,0))</x:f>
        <x:v>待逐题验证</x:v>
      </x:c>
    </x:row>
    <x:row r="117" ht="52.5" customHeight="1">
      <x:c r="A117" s="27" t="str">
        <x:v>M-INT-016</x:v>
      </x:c>
      <x:c r="B117" s="11" t="str">
        <x:v>INT-016</x:v>
      </x:c>
      <x:c r="C117" s="11" t="str">
        <x:v>首跨及长跨刚度不同的双跨梁</x:v>
      </x:c>
      <x:c r="D117" s="11" t="str">
        <x:v>连续梁</x:v>
      </x:c>
      <x:c r="E117" s="11" t="str">
        <x:v>2D</x:v>
      </x:c>
      <x:c r="F117" s="11" t="str">
        <x:v>L2</x:v>
      </x:c>
      <x:c r="G117" s="11" t="str">
        <x:v>跨度4m和7m，全跨10kN/m，长跨中点30kN；第一跨B1、第二跨B2，B2两弯曲惯性矩为B1的0.6倍、面积相同；支承：x=0铰、x=4/11m滚支。</x:v>
      </x:c>
      <x:c r="H117" s="11" t="str">
        <x:v>长跨局部坐标换算与连续支座；截面分组需与交互状态独立保持</x:v>
      </x:c>
      <x:c r="I117" s="11" t="str">
        <x:v>double-span-beam-unequal</x:v>
      </x:c>
      <x:c r="J117" s="11" t="str">
        <x:v>dspan-unequal-4-7-udl10-point30</x:v>
      </x:c>
      <x:c r="K117" s="11" t="str">
        <x:v>相对原结构锚点新增/修改截面分组：第一跨B1、第二跨B2，B2两弯曲惯性矩为B1的0.6倍、面积相同</x:v>
      </x:c>
      <x:c r="L117" s="11" t="str">
        <x:v>基础工具</x:v>
      </x:c>
      <x:c r="M117" s="11" t="str">
        <x:v>逐字段材料/截面数值及单位；完整支承自由度、荷载坐标与结果观测点</x:v>
      </x:c>
      <x:c r="N117" s="11" t="str">
        <x:v>独立规划骨架；可执行模型/数值真值待生成</x:v>
      </x:c>
      <x:c r="O117" s="30" t="n">
        <x:f>COUNTIFS('300题规划'!$C$2:$C$301,A117)</x:f>
        <x:v>1</x:v>
      </x:c>
      <x:c r="P117" s="5" t="str">
        <x:f>INDEX('300题规划'!$Y$2:$Y$301,MATCH(B117,'300题规划'!$A$2:$A$301,0))</x:f>
        <x:v>OpenSees</x:v>
      </x:c>
      <x:c r="Q117" s="5" t="str">
        <x:f>INDEX('300题规划'!$AB$2:$AB$301,MATCH(B117,'300题规划'!$A$2:$A$301,0))</x:f>
        <x:v>待逐题验证</x:v>
      </x:c>
    </x:row>
    <x:row r="118" ht="52.5" customHeight="1">
      <x:c r="A118" s="28" t="str">
        <x:v>M-INT-017</x:v>
      </x:c>
      <x:c r="B118" s="6" t="str">
        <x:v>INT-017</x:v>
      </x:c>
      <x:c r="C118" s="6" t="str">
        <x:v>首跨无载的三跨连续梁</x:v>
      </x:c>
      <x:c r="D118" s="6" t="str">
        <x:v>连续梁</x:v>
      </x:c>
      <x:c r="E118" s="6" t="str">
        <x:v>2D</x:v>
      </x:c>
      <x:c r="F118" s="6" t="str">
        <x:v>L2</x:v>
      </x:c>
      <x:c r="G118" s="6" t="str">
        <x:v>支座x=0、4、9、13m，中跨及末跨15kN/m、首跨无均布载，左铰其余滚支；15kN/m仅施加中跨和末跨，首跨0～4m不施加均布载；支承：x=0铰、x=4/9/13m滚支。</x:v>
      </x:c>
      <x:c r="H118" s="6" t="str">
        <x:v>三跨连通和四支座约束；荷载分布需与交互状态独立保持</x:v>
      </x:c>
      <x:c r="I118" s="6" t="str">
        <x:v>three-span-continuous-beam-static</x:v>
      </x:c>
      <x:c r="J118" s="6" t="str">
        <x:v>dspan-complex-3span</x:v>
      </x:c>
      <x:c r="K118" s="6" t="str">
        <x:v>相对原结构锚点新增/修改荷载分布：15kN/m仅施加中跨和末跨，首跨0～4m不施加均布载</x:v>
      </x:c>
      <x:c r="L118" s="6" t="str">
        <x:v>基础工具</x:v>
      </x:c>
      <x:c r="M118" s="6" t="str">
        <x:v>逐字段材料/截面数值及单位；完整支承自由度、荷载坐标与结果观测点</x:v>
      </x:c>
      <x:c r="N118" s="6" t="str">
        <x:v>独立规划骨架；可执行模型/数值真值待生成</x:v>
      </x:c>
      <x:c r="O118" s="30" t="n">
        <x:f>COUNTIFS('300题规划'!$C$2:$C$301,A118)</x:f>
        <x:v>1</x:v>
      </x:c>
      <x:c r="P118" s="5" t="str">
        <x:f>INDEX('300题规划'!$Y$2:$Y$301,MATCH(B118,'300题规划'!$A$2:$A$301,0))</x:f>
        <x:v>OpenSees</x:v>
      </x:c>
      <x:c r="Q118" s="5" t="str">
        <x:f>INDEX('300题规划'!$AB$2:$AB$301,MATCH(B118,'300题规划'!$A$2:$A$301,0))</x:f>
        <x:v>待逐题验证</x:v>
      </x:c>
    </x:row>
    <x:row r="119" ht="52.5" customHeight="1">
      <x:c r="A119" s="27" t="str">
        <x:v>M-INT-018</x:v>
      </x:c>
      <x:c r="B119" s="11" t="str">
        <x:v>INT-018</x:v>
      </x:c>
      <x:c r="C119" s="11" t="str">
        <x:v>仅第一跨加载且中支座外加力的梁</x:v>
      </x:c>
      <x:c r="D119" s="11" t="str">
        <x:v>连续梁</x:v>
      </x:c>
      <x:c r="E119" s="11" t="str">
        <x:v>2D</x:v>
      </x:c>
      <x:c r="F119" s="11" t="str">
        <x:v>L1</x:v>
      </x:c>
      <x:c r="G119" s="11" t="str">
        <x:v>跨度5m和7m，只第一跨向下16kN/m；中支座x=5m另有向下25kN节点力，第二跨仍无跨内外荷载；支承：x=0铰、x=5/12m滚支。</x:v>
      </x:c>
      <x:c r="H119" s="11" t="str">
        <x:v>无载跨不能补载或删除；荷载位置需与交互状态独立保持</x:v>
      </x:c>
      <x:c r="I119" s="11" t="str">
        <x:v>无</x:v>
      </x:c>
      <x:c r="J119" s="11" t="str">
        <x:v>无</x:v>
      </x:c>
      <x:c r="K119" s="11" t="str">
        <x:v>相对原结构锚点新增/修改荷载位置：中支座x=5m另有向下25kN节点力，第二跨仍无跨内外荷载</x:v>
      </x:c>
      <x:c r="L119" s="11" t="str">
        <x:v>基础工具</x:v>
      </x:c>
      <x:c r="M119" s="11" t="str">
        <x:v>逐字段材料/截面数值及单位；完整支承自由度、荷载坐标与结果观测点</x:v>
      </x:c>
      <x:c r="N119" s="11" t="str">
        <x:v>独立规划骨架；可执行模型/数值真值待生成</x:v>
      </x:c>
      <x:c r="O119" s="30" t="n">
        <x:f>COUNTIFS('300题规划'!$C$2:$C$301,A119)</x:f>
        <x:v>1</x:v>
      </x:c>
      <x:c r="P119" s="5" t="str">
        <x:f>INDEX('300题规划'!$Y$2:$Y$301,MATCH(B119,'300题规划'!$A$2:$A$301,0))</x:f>
        <x:v>OpenSees</x:v>
      </x:c>
      <x:c r="Q119" s="5" t="str">
        <x:f>INDEX('300题规划'!$AB$2:$AB$301,MATCH(B119,'300题规划'!$A$2:$A$301,0))</x:f>
        <x:v>待逐题验证</x:v>
      </x:c>
    </x:row>
    <x:row r="120" ht="54" customHeight="1">
      <x:c r="A120" s="28" t="str">
        <x:v>M-INT-019</x:v>
      </x:c>
      <x:c r="B120" s="6" t="str">
        <x:v>INT-019</x:v>
      </x:c>
      <x:c r="C120" s="6" t="str">
        <x:v>交替活载梁附加恒载点力</x:v>
      </x:c>
      <x:c r="D120" s="6" t="str">
        <x:v>连续梁</x:v>
      </x:c>
      <x:c r="E120" s="6" t="str">
        <x:v>2D</x:v>
      </x:c>
      <x:c r="F120" s="6" t="str">
        <x:v>L3</x:v>
      </x:c>
      <x:c r="G120" s="6" t="str">
        <x:v>跨度4、6、4m，D全跨8kN/m，L1仅中跨、L2仅两边跨各10kN/m，题定三个组合；D工况在中跨跨中x=7m另有向下20kN节点力，随D组合系数缩放；支承：x=0铰、x=4/10/14m滚支；D全跨8kN/m加中点20kN，L1中跨10、L2两边跨10kN/m；C1=D，C2=D+L1，C3=D+L2。</x:v>
      </x:c>
      <x:c r="H120" s="6" t="str">
        <x:v>工况独立保存和组合系数正确；荷载分布需与交互状态独立保持</x:v>
      </x:c>
      <x:c r="I120" s="6" t="str">
        <x:v>无</x:v>
      </x:c>
      <x:c r="J120" s="6" t="str">
        <x:v>无</x:v>
      </x:c>
      <x:c r="K120" s="6" t="str">
        <x:v>相对原结构锚点新增/修改荷载分布：D工况在中跨跨中x=7m另有向下20kN节点力，随D组合系数缩放</x:v>
      </x:c>
      <x:c r="L120" s="6" t="str">
        <x:v>多组合执行契约需验证</x:v>
      </x:c>
      <x:c r="M120" s="6" t="str">
        <x:v>逐字段材料/截面数值及单位；完整支承自由度、荷载坐标与结果观测点；完整工况/组合系数表</x:v>
      </x:c>
      <x:c r="N120" s="6" t="str">
        <x:v>独立规划骨架；可执行模型/数值真值待生成</x:v>
      </x:c>
      <x:c r="O120" s="30" t="n">
        <x:f>COUNTIFS('300题规划'!$C$2:$C$301,A120)</x:f>
        <x:v>1</x:v>
      </x:c>
      <x:c r="P120" s="5" t="str">
        <x:f>INDEX('300题规划'!$Y$2:$Y$301,MATCH(B120,'300题规划'!$A$2:$A$301,0))</x:f>
        <x:v>OpenSees</x:v>
      </x:c>
      <x:c r="Q120" s="5" t="str">
        <x:f>INDEX('300题规划'!$AB$2:$AB$301,MATCH(B120,'300题规划'!$A$2:$A$301,0))</x:f>
        <x:v>待逐题验证</x:v>
      </x:c>
    </x:row>
    <x:row r="121" ht="52.5" customHeight="1">
      <x:c r="A121" s="27" t="str">
        <x:v>M-INT-020</x:v>
      </x:c>
      <x:c r="B121" s="11" t="str">
        <x:v>INT-020</x:v>
      </x:c>
      <x:c r="C121" s="11" t="str">
        <x:v>不同跨度及刚度的递增长度连续梁</x:v>
      </x:c>
      <x:c r="D121" s="11" t="str">
        <x:v>连续梁</x:v>
      </x:c>
      <x:c r="E121" s="11" t="str">
        <x:v>2D</x:v>
      </x:c>
      <x:c r="F121" s="11" t="str">
        <x:v>L2</x:v>
      </x:c>
      <x:c r="G121" s="11" t="str">
        <x:v>跨度3、5、7m，各跨均布载分别8、10、12kN/m；三跨分别B1/B2/B1，B2的Iy/Iz为B1的1.5倍，所有支座规则不变；支承：x=0铰、x=3/8/15m滚支。</x:v>
      </x:c>
      <x:c r="H121" s="11" t="str">
        <x:v>跨度列表与荷载列表一一对应；截面分组需与交互状态独立保持</x:v>
      </x:c>
      <x:c r="I121" s="11" t="str">
        <x:v>无</x:v>
      </x:c>
      <x:c r="J121" s="11" t="str">
        <x:v>无</x:v>
      </x:c>
      <x:c r="K121" s="11" t="str">
        <x:v>相对原结构锚点新增/修改截面分组：三跨分别B1/B2/B1，B2的Iy/Iz为B1的1.5倍，所有支座规则不变</x:v>
      </x:c>
      <x:c r="L121" s="11" t="str">
        <x:v>基础工具</x:v>
      </x:c>
      <x:c r="M121" s="11" t="str">
        <x:v>逐字段材料/截面数值及单位；完整支承自由度、荷载坐标与结果观测点</x:v>
      </x:c>
      <x:c r="N121" s="11" t="str">
        <x:v>独立规划骨架；可执行模型/数值真值待生成</x:v>
      </x:c>
      <x:c r="O121" s="30" t="n">
        <x:f>COUNTIFS('300题规划'!$C$2:$C$301,A121)</x:f>
        <x:v>1</x:v>
      </x:c>
      <x:c r="P121" s="5" t="str">
        <x:f>INDEX('300题规划'!$Y$2:$Y$301,MATCH(B121,'300题规划'!$A$2:$A$301,0))</x:f>
        <x:v>OpenSees</x:v>
      </x:c>
      <x:c r="Q121" s="5" t="str">
        <x:f>INDEX('300题规划'!$AB$2:$AB$301,MATCH(B121,'300题规划'!$A$2:$A$301,0))</x:f>
        <x:v>待逐题验证</x:v>
      </x:c>
    </x:row>
    <x:row r="122" ht="52.5" customHeight="1">
      <x:c r="A122" s="28" t="str">
        <x:v>M-INT-021</x:v>
      </x:c>
      <x:c r="B122" s="6" t="str">
        <x:v>INT-021</x:v>
      </x:c>
      <x:c r="C122" s="6" t="str">
        <x:v>左端固结的双跨异截面梁</x:v>
      </x:c>
      <x:c r="D122" s="6" t="str">
        <x:v>连续梁</x:v>
      </x:c>
      <x:c r="E122" s="6" t="str">
        <x:v>2D</x:v>
      </x:c>
      <x:c r="F122" s="6" t="str">
        <x:v>L2</x:v>
      </x:c>
      <x:c r="G122" s="6" t="str">
        <x:v>跨度6m和6m，两跨分别使用B1和B2，均布载10kN/m；x=0支座固定，中间和右端仅竖向滚支，两跨仍6m+6m；支承：x=0固定、x=6/12m滚支。</x:v>
      </x:c>
      <x:c r="H122" s="6" t="str">
        <x:v>共用支座处节点连续但截面不同；边界需与交互状态独立保持</x:v>
      </x:c>
      <x:c r="I122" s="6" t="str">
        <x:v>无</x:v>
      </x:c>
      <x:c r="J122" s="6" t="str">
        <x:v>无</x:v>
      </x:c>
      <x:c r="K122" s="6" t="str">
        <x:v>相对原结构锚点新增/修改边界：x=0支座固定，中间和右端仅竖向滚支，两跨仍6m+6m</x:v>
      </x:c>
      <x:c r="L122" s="6" t="str">
        <x:v>基础工具</x:v>
      </x:c>
      <x:c r="M122" s="6" t="str">
        <x:v>逐字段材料/截面数值及单位；完整支承自由度、荷载坐标与结果观测点</x:v>
      </x:c>
      <x:c r="N122" s="6" t="str">
        <x:v>独立规划骨架；可执行模型/数值真值待生成</x:v>
      </x:c>
      <x:c r="O122" s="30" t="n">
        <x:f>COUNTIFS('300题规划'!$C$2:$C$301,A122)</x:f>
        <x:v>1</x:v>
      </x:c>
      <x:c r="P122" s="5" t="str">
        <x:f>INDEX('300题规划'!$Y$2:$Y$301,MATCH(B122,'300题规划'!$A$2:$A$301,0))</x:f>
        <x:v>OpenSees</x:v>
      </x:c>
      <x:c r="Q122" s="5" t="str">
        <x:f>INDEX('300题规划'!$AB$2:$AB$301,MATCH(B122,'300题规划'!$A$2:$A$301,0))</x:f>
        <x:v>待逐题验证</x:v>
      </x:c>
    </x:row>
    <x:row r="123" ht="52.5" customHeight="1">
      <x:c r="A123" s="27" t="str">
        <x:v>M-INT-022</x:v>
      </x:c>
      <x:c r="B123" s="11" t="str">
        <x:v>INT-022</x:v>
      </x:c>
      <x:c r="C123" s="11" t="str">
        <x:v>仅外伸段加载的连续梁</x:v>
      </x:c>
      <x:c r="D123" s="11" t="str">
        <x:v>连续梁</x:v>
      </x:c>
      <x:c r="E123" s="11" t="str">
        <x:v>2D</x:v>
      </x:c>
      <x:c r="F123" s="11" t="str">
        <x:v>L3</x:v>
      </x:c>
      <x:c r="G123" s="11" t="str">
        <x:v>支座x=0、5、10m，梁到x=12m，仅外伸段8kN/m，外伸端10kN；均布载8kN/m仅作用x=10m至自由端，两支承跨无均布载；自由端10kN保留；支承：x=0铰、x=5/10m滚支、初始自由端x=12m。</x:v>
      </x:c>
      <x:c r="H123" s="11" t="str">
        <x:v>连续跨、外伸段与端力同时定位；荷载分布需与交互状态独立保持</x:v>
      </x:c>
      <x:c r="I123" s="11" t="str">
        <x:v>无</x:v>
      </x:c>
      <x:c r="J123" s="11" t="str">
        <x:v>无</x:v>
      </x:c>
      <x:c r="K123" s="11" t="str">
        <x:v>相对原结构锚点新增/修改荷载分布：均布载8kN/m仅作用x=10m至自由端，两支承跨无均布载；自由端10kN保留</x:v>
      </x:c>
      <x:c r="L123" s="11" t="str">
        <x:v>基础工具</x:v>
      </x:c>
      <x:c r="M123" s="11" t="str">
        <x:v>逐字段材料/截面数值及单位；完整支承自由度、荷载坐标与结果观测点</x:v>
      </x:c>
      <x:c r="N123" s="11" t="str">
        <x:v>独立规划骨架；可执行模型/数值真值待生成</x:v>
      </x:c>
      <x:c r="O123" s="30" t="n">
        <x:f>COUNTIFS('300题规划'!$C$2:$C$301,A123)</x:f>
        <x:v>1</x:v>
      </x:c>
      <x:c r="P123" s="5" t="str">
        <x:f>INDEX('300题规划'!$Y$2:$Y$301,MATCH(B123,'300题规划'!$A$2:$A$301,0))</x:f>
        <x:v>OpenSees</x:v>
      </x:c>
      <x:c r="Q123" s="5" t="str">
        <x:f>INDEX('300题规划'!$AB$2:$AB$301,MATCH(B123,'300题规划'!$A$2:$A$301,0))</x:f>
        <x:v>待逐题验证</x:v>
      </x:c>
    </x:row>
    <x:row r="124" ht="52.5" customHeight="1">
      <x:c r="A124" s="28" t="str">
        <x:v>M-INT-023</x:v>
      </x:c>
      <x:c r="B124" s="6" t="str">
        <x:v>INT-023</x:v>
      </x:c>
      <x:c r="C124" s="6" t="str">
        <x:v>首跨带上向局部载的双跨梁</x:v>
      </x:c>
      <x:c r="D124" s="6" t="str">
        <x:v>连续梁</x:v>
      </x:c>
      <x:c r="E124" s="6" t="str">
        <x:v>2D</x:v>
      </x:c>
      <x:c r="F124" s="6" t="str">
        <x:v>L2</x:v>
      </x:c>
      <x:c r="G124" s="6" t="str">
        <x:v>双跨4、6m，中支座处30kN，第二跨中点20kN；首跨x=1～3m另有向上4kN/m；原中支座30kN与第二跨中20kN向下；支承：x=0铰、x=4/10m滚支。</x:v>
      </x:c>
      <x:c r="H124" s="6" t="str">
        <x:v>支座节点荷载不应挪到跨中；荷载分布需与交互状态独立保持</x:v>
      </x:c>
      <x:c r="I124" s="6" t="str">
        <x:v>无</x:v>
      </x:c>
      <x:c r="J124" s="6" t="str">
        <x:v>无</x:v>
      </x:c>
      <x:c r="K124" s="6" t="str">
        <x:v>相对原结构锚点新增/修改荷载分布：首跨x=1～3m另有向上4kN/m；原中支座30kN与第二跨中20kN向下</x:v>
      </x:c>
      <x:c r="L124" s="6" t="str">
        <x:v>基础工具</x:v>
      </x:c>
      <x:c r="M124" s="6" t="str">
        <x:v>逐字段材料/截面数值及单位；完整支承自由度、荷载坐标与结果观测点</x:v>
      </x:c>
      <x:c r="N124" s="6" t="str">
        <x:v>独立规划骨架；可执行模型/数值真值待生成</x:v>
      </x:c>
      <x:c r="O124" s="30" t="n">
        <x:f>COUNTIFS('300题规划'!$C$2:$C$301,A124)</x:f>
        <x:v>1</x:v>
      </x:c>
      <x:c r="P124" s="5" t="str">
        <x:f>INDEX('300题规划'!$Y$2:$Y$301,MATCH(B124,'300题规划'!$A$2:$A$301,0))</x:f>
        <x:v>OpenSees</x:v>
      </x:c>
      <x:c r="Q124" s="5" t="str">
        <x:f>INDEX('300题规划'!$AB$2:$AB$301,MATCH(B124,'300题规划'!$A$2:$A$301,0))</x:f>
        <x:v>待逐题验证</x:v>
      </x:c>
    </x:row>
    <x:row r="125" ht="52.5" customHeight="1">
      <x:c r="A125" s="27" t="str">
        <x:v>M-INT-024</x:v>
      </x:c>
      <x:c r="B125" s="11" t="str">
        <x:v>INT-024</x:v>
      </x:c>
      <x:c r="C125" s="11" t="str">
        <x:v>中跨较柔的正反载连续梁</x:v>
      </x:c>
      <x:c r="D125" s="11" t="str">
        <x:v>连续梁</x:v>
      </x:c>
      <x:c r="E125" s="11" t="str">
        <x:v>2D</x:v>
      </x:c>
      <x:c r="F125" s="11" t="str">
        <x:v>L2</x:v>
      </x:c>
      <x:c r="G125" s="11" t="str">
        <x:v>三跨5、5、5m，D全跨向下8kN/m，W仅中跨向上6kN/m，显式符号约定；两侧跨B1、中跨B2，B2的Iy/Iz为B1的0.5倍、面积相同；支承：x=0铰、x=5/10/15m滚支。</x:v>
      </x:c>
      <x:c r="H125" s="11" t="str">
        <x:v>相反方向荷载及组合不能误删为非法；截面分组需与交互状态独立保持</x:v>
      </x:c>
      <x:c r="I125" s="11" t="str">
        <x:v>无</x:v>
      </x:c>
      <x:c r="J125" s="11" t="str">
        <x:v>无</x:v>
      </x:c>
      <x:c r="K125" s="11" t="str">
        <x:v>相对原结构锚点新增/修改截面分组：两侧跨B1、中跨B2，B2的Iy/Iz为B1的0.5倍、面积相同</x:v>
      </x:c>
      <x:c r="L125" s="11" t="str">
        <x:v>多组合执行契约需验证</x:v>
      </x:c>
      <x:c r="M125" s="11" t="str">
        <x:v>逐字段材料/截面数值及单位；完整支承自由度、荷载坐标与结果观测点；完整工况/组合系数表</x:v>
      </x:c>
      <x:c r="N125" s="11" t="str">
        <x:v>独立规划骨架；可执行模型/数值真值待生成</x:v>
      </x:c>
      <x:c r="O125" s="30" t="n">
        <x:f>COUNTIFS('300题规划'!$C$2:$C$301,A125)</x:f>
        <x:v>1</x:v>
      </x:c>
      <x:c r="P125" s="5" t="str">
        <x:f>INDEX('300题规划'!$Y$2:$Y$301,MATCH(B125,'300题规划'!$A$2:$A$301,0))</x:f>
        <x:v>OpenSees</x:v>
      </x:c>
      <x:c r="Q125" s="5" t="str">
        <x:f>INDEX('300题规划'!$AB$2:$AB$301,MATCH(B125,'300题规划'!$A$2:$A$301,0))</x:f>
        <x:v>待逐题验证</x:v>
      </x:c>
    </x:row>
    <x:row r="126" ht="52.5" customHeight="1">
      <x:c r="A126" s="28" t="str">
        <x:v>M-INT-025</x:v>
      </x:c>
      <x:c r="B126" s="6" t="str">
        <x:v>INT-025</x:v>
      </x:c>
      <x:c r="C126" s="6" t="str">
        <x:v>端力矩加右跨均布载梁</x:v>
      </x:c>
      <x:c r="D126" s="6" t="str">
        <x:v>连续梁</x:v>
      </x:c>
      <x:c r="E126" s="6" t="str">
        <x:v>2D</x:v>
      </x:c>
      <x:c r="F126" s="6" t="str">
        <x:v>L2</x:v>
      </x:c>
      <x:c r="G126" s="6" t="str">
        <x:v>两跨5、5m，仅右跨6kN/m，在右端施加全局Y轴20kN·m，符号明确；全跨6kN/m改为仅右跨x=5～10m施加，左跨无均布载，右端20kN·m保留；支承：x=0铰、x=5/10m滚支。</x:v>
      </x:c>
      <x:c r="H126" s="6" t="str">
        <x:v>节点力矩与集中力量纲不同；荷载分布需与交互状态独立保持</x:v>
      </x:c>
      <x:c r="I126" s="6" t="str">
        <x:v>无</x:v>
      </x:c>
      <x:c r="J126" s="6" t="str">
        <x:v>无</x:v>
      </x:c>
      <x:c r="K126" s="6" t="str">
        <x:v>相对原结构锚点新增/修改荷载分布：全跨6kN/m改为仅右跨x=5～10m施加，左跨无均布载，右端20kN·m保留</x:v>
      </x:c>
      <x:c r="L126" s="6" t="str">
        <x:v>节点力矩输入需验证</x:v>
      </x:c>
      <x:c r="M126" s="6" t="str">
        <x:v>逐字段材料/截面数值及单位；完整支承自由度、荷载坐标与结果观测点</x:v>
      </x:c>
      <x:c r="N126" s="6" t="str">
        <x:v>独立规划骨架；可执行模型/数值真值待生成</x:v>
      </x:c>
      <x:c r="O126" s="30" t="n">
        <x:f>COUNTIFS('300题规划'!$C$2:$C$301,A126)</x:f>
        <x:v>1</x:v>
      </x:c>
      <x:c r="P126" s="5" t="str">
        <x:f>INDEX('300题规划'!$Y$2:$Y$301,MATCH(B126,'300题规划'!$A$2:$A$301,0))</x:f>
        <x:v>OpenSees</x:v>
      </x:c>
      <x:c r="Q126" s="5" t="str">
        <x:f>INDEX('300题规划'!$AB$2:$AB$301,MATCH(B126,'300题规划'!$A$2:$A$301,0))</x:f>
        <x:v>待逐题验证</x:v>
      </x:c>
    </x:row>
    <x:row r="127" ht="54" customHeight="1">
      <x:c r="A127" s="27" t="str">
        <x:v>M-INT-026</x:v>
      </x:c>
      <x:c r="B127" s="11" t="str">
        <x:v>INT-026</x:v>
      </x:c>
      <x:c r="C127" s="11" t="str">
        <x:v>末跨内部点力的四跨分组梁</x:v>
      </x:c>
      <x:c r="D127" s="11" t="str">
        <x:v>连续梁</x:v>
      </x:c>
      <x:c r="E127" s="11" t="str">
        <x:v>2D</x:v>
      </x:c>
      <x:c r="F127" s="11" t="str">
        <x:v>L3</x:v>
      </x:c>
      <x:c r="G127" s="11" t="str">
        <x:v>跨度4、6、5、4m，中间两跨B2其余B1，D全跨、L仅第二第四跨，题定组合；D工况另在第四跨跨中x=17m施加向下16kN点力；支承：x=0铰、x=4/10/15/19m滚支；D全梁8kN/m加第四跨中16kN；L仅第二/第四跨10kN/m；C1=D、C2=D+L。</x:v>
      </x:c>
      <x:c r="H127" s="11" t="str">
        <x:v>几何、截面组、工况映射同时存在；荷载分布需与交互状态独立保持</x:v>
      </x:c>
      <x:c r="I127" s="11" t="str">
        <x:v>无</x:v>
      </x:c>
      <x:c r="J127" s="11" t="str">
        <x:v>无</x:v>
      </x:c>
      <x:c r="K127" s="11" t="str">
        <x:v>相对原结构锚点新增/修改荷载分布：D工况另在第四跨跨中x=17m施加向下16kN点力</x:v>
      </x:c>
      <x:c r="L127" s="11" t="str">
        <x:v>多组合执行契约需验证</x:v>
      </x:c>
      <x:c r="M127" s="11" t="str">
        <x:v>逐字段材料/截面数值及单位；完整支承自由度、荷载坐标与结果观测点；完整工况/组合系数表</x:v>
      </x:c>
      <x:c r="N127" s="11" t="str">
        <x:v>独立规划骨架；可执行模型/数值真值待生成</x:v>
      </x:c>
      <x:c r="O127" s="30" t="n">
        <x:f>COUNTIFS('300题规划'!$C$2:$C$301,A127)</x:f>
        <x:v>1</x:v>
      </x:c>
      <x:c r="P127" s="5" t="str">
        <x:f>INDEX('300题规划'!$Y$2:$Y$301,MATCH(B127,'300题规划'!$A$2:$A$301,0))</x:f>
        <x:v>OpenSees</x:v>
      </x:c>
      <x:c r="Q127" s="5" t="str">
        <x:f>INDEX('300题规划'!$AB$2:$AB$301,MATCH(B127,'300题规划'!$A$2:$A$301,0))</x:f>
        <x:v>待逐题验证</x:v>
      </x:c>
    </x:row>
    <x:row r="128" ht="52.5" customHeight="1">
      <x:c r="A128" s="28" t="str">
        <x:v>M-INT-027</x:v>
      </x:c>
      <x:c r="B128" s="6" t="str">
        <x:v>INT-027</x:v>
      </x:c>
      <x:c r="C128" s="6" t="str">
        <x:v>弦腹杆不同面积的Pratt桁架</x:v>
      </x:c>
      <x:c r="D128" s="6" t="str">
        <x:v>桁架</x:v>
      </x:c>
      <x:c r="E128" s="6" t="str">
        <x:v>2D</x:v>
      </x:c>
      <x:c r="F128" s="6" t="str">
        <x:v>L2</x:v>
      </x:c>
      <x:c r="G128" s="6" t="str">
        <x:v>跨度15m、高2.5m、5节间，四个内部上弦节点各10kN，按旧题连接表；全部上弦杆截面积A，上下弦中的下弦为1.4A，腹杆为0.7A，材料E相同。</x:v>
      </x:c>
      <x:c r="H128" s="6" t="str">
        <x:v>按给定连接而非名称补猜；截面分组需与交互状态独立保持</x:v>
      </x:c>
      <x:c r="I128" s="6" t="str">
        <x:v>truss-pratt-static</x:v>
      </x:c>
      <x:c r="J128" s="6" t="str">
        <x:v>truss-pratt-15m-top10</x:v>
      </x:c>
      <x:c r="K128" s="6" t="str">
        <x:v>相对原结构锚点新增/修改截面分组：全部上弦杆截面积A，上下弦中的下弦为1.4A，腹杆为0.7A，材料E相同</x:v>
      </x:c>
      <x:c r="L128" s="6" t="str">
        <x:v>基础工具</x:v>
      </x:c>
      <x:c r="M128" s="6" t="str">
        <x:v>逐字段材料/截面数值及单位；完整支承自由度、荷载坐标与结果观测点；逐杆连接表与稳定性复核</x:v>
      </x:c>
      <x:c r="N128" s="6" t="str">
        <x:v>独立规划骨架；可执行模型/数值真值待生成</x:v>
      </x:c>
      <x:c r="O128" s="30" t="n">
        <x:f>COUNTIFS('300题规划'!$C$2:$C$301,A128)</x:f>
        <x:v>1</x:v>
      </x:c>
      <x:c r="P128" s="5" t="str">
        <x:f>INDEX('300题规划'!$Y$2:$Y$301,MATCH(B128,'300题规划'!$A$2:$A$301,0))</x:f>
        <x:v>OpenSees</x:v>
      </x:c>
      <x:c r="Q128" s="5" t="str">
        <x:f>INDEX('300题规划'!$AB$2:$AB$301,MATCH(B128,'300题规划'!$A$2:$A$301,0))</x:f>
        <x:v>待逐题验证</x:v>
      </x:c>
    </x:row>
    <x:row r="129" ht="52.5" customHeight="1">
      <x:c r="A129" s="27" t="str">
        <x:v>M-INT-028</x:v>
      </x:c>
      <x:c r="B129" s="11" t="str">
        <x:v>INT-028</x:v>
      </x:c>
      <x:c r="C129" s="11" t="str">
        <x:v>下弦重力加端上弦水平力桁架</x:v>
      </x:c>
      <x:c r="D129" s="11" t="str">
        <x:v>桁架</x:v>
      </x:c>
      <x:c r="E129" s="11" t="str">
        <x:v>2D</x:v>
      </x:c>
      <x:c r="F129" s="11" t="str">
        <x:v>L2</x:v>
      </x:c>
      <x:c r="G129" s="11" t="str">
        <x:v>跨度18m、6节间，端高1.6m、中高2.5m，五个内部下弦节点各15kN；最右上弦节点另施加X负向6kN，五个内部下弦节点荷载仍待确认单位。</x:v>
      </x:c>
      <x:c r="H129" s="11" t="str">
        <x:v>变高度与下弦作用点；荷载分量需与交互状态独立保持</x:v>
      </x:c>
      <x:c r="I129" s="11" t="str">
        <x:v>truss-trapezoidal-static</x:v>
      </x:c>
      <x:c r="J129" s="11" t="str">
        <x:v>truss-complex-trap</x:v>
      </x:c>
      <x:c r="K129" s="11" t="str">
        <x:v>相对原结构锚点新增/修改荷载分量：最右上弦节点另施加X负向6kN，五个内部下弦节点荷载仍待确认单位</x:v>
      </x:c>
      <x:c r="L129" s="11" t="str">
        <x:v>基础工具</x:v>
      </x:c>
      <x:c r="M129" s="11" t="str">
        <x:v>逐字段材料/截面数值及单位；完整支承自由度、荷载坐标与结果观测点；逐杆连接表与稳定性复核</x:v>
      </x:c>
      <x:c r="N129" s="11" t="str">
        <x:v>独立规划骨架；可执行模型/数值真值待生成</x:v>
      </x:c>
      <x:c r="O129" s="30" t="n">
        <x:f>COUNTIFS('300题规划'!$C$2:$C$301,A129)</x:f>
        <x:v>1</x:v>
      </x:c>
      <x:c r="P129" s="5" t="str">
        <x:f>INDEX('300题规划'!$Y$2:$Y$301,MATCH(B129,'300题规划'!$A$2:$A$301,0))</x:f>
        <x:v>OpenSees</x:v>
      </x:c>
      <x:c r="Q129" s="5" t="str">
        <x:f>INDEX('300题规划'!$AB$2:$AB$301,MATCH(B129,'300题规划'!$A$2:$A$301,0))</x:f>
        <x:v>待逐题验证</x:v>
      </x:c>
    </x:row>
    <x:row r="130" ht="52.5" customHeight="1">
      <x:c r="A130" s="28" t="str">
        <x:v>M-INT-029</x:v>
      </x:c>
      <x:c r="B130" s="6" t="str">
        <x:v>INT-029</x:v>
      </x:c>
      <x:c r="C130" s="6" t="str">
        <x:v>下弦加强的三角桁架</x:v>
      </x:c>
      <x:c r="D130" s="6" t="str">
        <x:v>桁架</x:v>
      </x:c>
      <x:c r="E130" s="6" t="str">
        <x:v>2D</x:v>
      </x:c>
      <x:c r="F130" s="6" t="str">
        <x:v>L2</x:v>
      </x:c>
      <x:c r="G130" s="6" t="str">
        <x:v>跨度12m、高3m，旧题6节点10杆，三个上弦节点各20kN；所有下弦杆面积为上弦杆的1.6倍，其他腹杆沿用基准面积和E。</x:v>
      </x:c>
      <x:c r="H130" s="6" t="str">
        <x:v>保留特殊水平连杆与连接节点；截面分组需与交互状态独立保持</x:v>
      </x:c>
      <x:c r="I130" s="6" t="str">
        <x:v>truss-triangle-static</x:v>
      </x:c>
      <x:c r="J130" s="6" t="str">
        <x:v>truss-triangle-12m-3m-20k</x:v>
      </x:c>
      <x:c r="K130" s="6" t="str">
        <x:v>相对原结构锚点新增/修改截面分组：所有下弦杆面积为上弦杆的1.6倍，其他腹杆沿用基准面积和E</x:v>
      </x:c>
      <x:c r="L130" s="6" t="str">
        <x:v>基础工具</x:v>
      </x:c>
      <x:c r="M130" s="6" t="str">
        <x:v>逐字段材料/截面数值及单位；完整支承自由度、荷载坐标与结果观测点；逐杆连接表与稳定性复核</x:v>
      </x:c>
      <x:c r="N130" s="6" t="str">
        <x:v>独立规划骨架；可执行模型/数值真值待生成</x:v>
      </x:c>
      <x:c r="O130" s="30" t="n">
        <x:f>COUNTIFS('300题规划'!$C$2:$C$301,A130)</x:f>
        <x:v>1</x:v>
      </x:c>
      <x:c r="P130" s="5" t="str">
        <x:f>INDEX('300题规划'!$Y$2:$Y$301,MATCH(B130,'300题规划'!$A$2:$A$301,0))</x:f>
        <x:v>OpenSees</x:v>
      </x:c>
      <x:c r="Q130" s="5" t="str">
        <x:f>INDEX('300题规划'!$AB$2:$AB$301,MATCH(B130,'300题规划'!$A$2:$A$301,0))</x:f>
        <x:v>待逐题验证</x:v>
      </x:c>
    </x:row>
    <x:row r="131" ht="52.5" customHeight="1">
      <x:c r="A131" s="27" t="str">
        <x:v>M-INT-030</x:v>
      </x:c>
      <x:c r="B131" s="11" t="str">
        <x:v>INT-030</x:v>
      </x:c>
      <x:c r="C131" s="11" t="str">
        <x:v>局部上弦点力的Warren杆系</x:v>
      </x:c>
      <x:c r="D131" s="11" t="str">
        <x:v>桁架</x:v>
      </x:c>
      <x:c r="E131" s="11" t="str">
        <x:v>2D</x:v>
      </x:c>
      <x:c r="F131" s="11" t="str">
        <x:v>L2</x:v>
      </x:c>
      <x:c r="G131" s="11" t="str">
        <x:v>跨度12m、高2m、6节间，明确竖杆与交替斜杆，内部下弦节点各8kN；原内部下弦8kN保留，x=6m上弦节点另有向下11kN。</x:v>
      </x:c>
      <x:c r="H131" s="11" t="str">
        <x:v>下弦加载与斜杆方向；荷载位置需与交互状态独立保持</x:v>
      </x:c>
      <x:c r="I131" s="11" t="str">
        <x:v>truss-warren-en</x:v>
      </x:c>
      <x:c r="J131" s="11" t="str">
        <x:v>truss-warren-12m-2m-8k</x:v>
      </x:c>
      <x:c r="K131" s="11" t="str">
        <x:v>相对原结构锚点新增/修改荷载位置：原内部下弦8kN保留，x=6m上弦节点另有向下11kN</x:v>
      </x:c>
      <x:c r="L131" s="11" t="str">
        <x:v>基础工具</x:v>
      </x:c>
      <x:c r="M131" s="11" t="str">
        <x:v>逐字段材料/截面数值及单位；完整支承自由度、荷载坐标与结果观测点；逐杆连接表与稳定性复核</x:v>
      </x:c>
      <x:c r="N131" s="11" t="str">
        <x:v>独立规划骨架；可执行模型/数值真值待生成</x:v>
      </x:c>
      <x:c r="O131" s="30" t="n">
        <x:f>COUNTIFS('300题规划'!$C$2:$C$301,A131)</x:f>
        <x:v>1</x:v>
      </x:c>
      <x:c r="P131" s="5" t="str">
        <x:f>INDEX('300题规划'!$Y$2:$Y$301,MATCH(B131,'300题规划'!$A$2:$A$301,0))</x:f>
        <x:v>OpenSees</x:v>
      </x:c>
      <x:c r="Q131" s="5" t="str">
        <x:f>INDEX('300题规划'!$AB$2:$AB$301,MATCH(B131,'300题规划'!$A$2:$A$301,0))</x:f>
        <x:v>待逐题验证</x:v>
      </x:c>
    </x:row>
    <x:row r="132" ht="52.5" customHeight="1">
      <x:c r="A132" s="28" t="str">
        <x:v>M-INT-031</x:v>
      </x:c>
      <x:c r="B132" s="6" t="str">
        <x:v>INT-031</x:v>
      </x:c>
      <x:c r="C132" s="6" t="str">
        <x:v>首末节间腹杆加强的平行弦屋架</x:v>
      </x:c>
      <x:c r="D132" s="6" t="str">
        <x:v>桁架</x:v>
      </x:c>
      <x:c r="E132" s="6" t="str">
        <x:v>2D</x:v>
      </x:c>
      <x:c r="F132" s="6" t="str">
        <x:v>L2</x:v>
      </x:c>
      <x:c r="G132" s="6" t="str">
        <x:v>跨度18m、高3m、6节间，交替腹杆，上弦内部节点各12kN；首节间0～3m及末节间15～18m腹杆面积为中间腹杆的两倍，弦杆不变。</x:v>
      </x:c>
      <x:c r="H132" s="6" t="str">
        <x:v>上弦荷载及竖杆完整性；截面分组需与交互状态独立保持</x:v>
      </x:c>
      <x:c r="I132" s="6" t="str">
        <x:v>truss-roof-en</x:v>
      </x:c>
      <x:c r="J132" s="6" t="str">
        <x:v>truss-roof-18m-3m-12k</x:v>
      </x:c>
      <x:c r="K132" s="6" t="str">
        <x:v>相对原结构锚点新增/修改截面分组：首节间0～3m及末节间15～18m腹杆面积为中间腹杆的两倍，弦杆不变</x:v>
      </x:c>
      <x:c r="L132" s="6" t="str">
        <x:v>基础工具</x:v>
      </x:c>
      <x:c r="M132" s="6" t="str">
        <x:v>逐字段材料/截面数值及单位；完整支承自由度、荷载坐标与结果观测点；逐杆连接表与稳定性复核</x:v>
      </x:c>
      <x:c r="N132" s="6" t="str">
        <x:v>独立规划骨架；可执行模型/数值真值待生成</x:v>
      </x:c>
      <x:c r="O132" s="30" t="n">
        <x:f>COUNTIFS('300题规划'!$C$2:$C$301,A132)</x:f>
        <x:v>1</x:v>
      </x:c>
      <x:c r="P132" s="5" t="str">
        <x:f>INDEX('300题规划'!$Y$2:$Y$301,MATCH(B132,'300题规划'!$A$2:$A$301,0))</x:f>
        <x:v>OpenSees</x:v>
      </x:c>
      <x:c r="Q132" s="5" t="str">
        <x:f>INDEX('300题规划'!$AB$2:$AB$301,MATCH(B132,'300题规划'!$A$2:$A$301,0))</x:f>
        <x:v>待逐题验证</x:v>
      </x:c>
    </x:row>
    <x:row r="133" ht="52.5" customHeight="1">
      <x:c r="A133" s="27" t="str">
        <x:v>M-INT-032</x:v>
      </x:c>
      <x:c r="B133" s="11" t="str">
        <x:v>INT-032</x:v>
      </x:c>
      <x:c r="C133" s="11" t="str">
        <x:v>顶点水平力与上弦竖载三角屋架</x:v>
      </x:c>
      <x:c r="D133" s="11" t="str">
        <x:v>桁架</x:v>
      </x:c>
      <x:c r="E133" s="11" t="str">
        <x:v>2D</x:v>
      </x:c>
      <x:c r="F133" s="11" t="str">
        <x:v>L2</x:v>
      </x:c>
      <x:c r="G133" s="11" t="str">
        <x:v>跨度15m、顶点x=7.5m高2.5m，按旧题连接，五个上弦节点各10kN；顶点(7.5,2.5)m另施加X正向7kN，五个上弦10kN竖载不变。</x:v>
      </x:c>
      <x:c r="H133" s="11" t="str">
        <x:v>顶点不在整节间及腹杆连接；荷载分量需与交互状态独立保持</x:v>
      </x:c>
      <x:c r="I133" s="11" t="str">
        <x:v>std-truss-tri-en</x:v>
      </x:c>
      <x:c r="J133" s="11" t="str">
        <x:v>truss-triangle-15m-2p5-10k</x:v>
      </x:c>
      <x:c r="K133" s="11" t="str">
        <x:v>相对原结构锚点新增/修改荷载分量：顶点(7.5,2.5)m另施加X正向7kN，五个上弦10kN竖载不变</x:v>
      </x:c>
      <x:c r="L133" s="11" t="str">
        <x:v>基础工具</x:v>
      </x:c>
      <x:c r="M133" s="11" t="str">
        <x:v>逐字段材料/截面数值及单位；完整支承自由度、荷载坐标与结果观测点；逐杆连接表与稳定性复核</x:v>
      </x:c>
      <x:c r="N133" s="11" t="str">
        <x:v>独立规划骨架；可执行模型/数值真值待生成</x:v>
      </x:c>
      <x:c r="O133" s="30" t="n">
        <x:f>COUNTIFS('300题规划'!$C$2:$C$301,A133)</x:f>
        <x:v>1</x:v>
      </x:c>
      <x:c r="P133" s="5" t="str">
        <x:f>INDEX('300题规划'!$Y$2:$Y$301,MATCH(B133,'300题规划'!$A$2:$A$301,0))</x:f>
        <x:v>OpenSees</x:v>
      </x:c>
      <x:c r="Q133" s="5" t="str">
        <x:f>INDEX('300题规划'!$AB$2:$AB$301,MATCH(B133,'300题规划'!$A$2:$A$301,0))</x:f>
        <x:v>待逐题验证</x:v>
      </x:c>
    </x:row>
    <x:row r="134" ht="52.5" customHeight="1">
      <x:c r="A134" s="28" t="str">
        <x:v>M-INT-033</x:v>
      </x:c>
      <x:c r="B134" s="6" t="str">
        <x:v>INT-033</x:v>
      </x:c>
      <x:c r="C134" s="6" t="str">
        <x:v>只有奇数格下弦加载的平行弦杆系</x:v>
      </x:c>
      <x:c r="D134" s="6" t="str">
        <x:v>桁架</x:v>
      </x:c>
      <x:c r="E134" s="6" t="str">
        <x:v>2D</x:v>
      </x:c>
      <x:c r="F134" s="6" t="str">
        <x:v>L2</x:v>
      </x:c>
      <x:c r="G134" s="6" t="str">
        <x:v>跨度15m、高2.5m、5节间，12节点21杆，仅x=3、9m下弦节点各10kN；原内部下弦10kN改为仅x=3、9m两节点各10kN，其余内部下弦无载。</x:v>
      </x:c>
      <x:c r="H134" s="6" t="str">
        <x:v>三角腹杆不等于三角外轮廓；荷载分布需与交互状态独立保持</x:v>
      </x:c>
      <x:c r="I134" s="6" t="str">
        <x:v>re-dxf-truss-simple-tri</x:v>
      </x:c>
      <x:c r="J134" s="6" t="str">
        <x:v>truss-simple-tri</x:v>
      </x:c>
      <x:c r="K134" s="6" t="str">
        <x:v>相对原结构锚点新增/修改荷载分布：原内部下弦10kN改为仅x=3、9m两节点各10kN，其余内部下弦无载</x:v>
      </x:c>
      <x:c r="L134" s="6" t="str">
        <x:v>基础工具</x:v>
      </x:c>
      <x:c r="M134" s="6" t="str">
        <x:v>逐字段材料/截面数值及单位；完整支承自由度、荷载坐标与结果观测点；逐杆连接表与稳定性复核</x:v>
      </x:c>
      <x:c r="N134" s="6" t="str">
        <x:v>独立规划骨架；可执行模型/数值真值待生成</x:v>
      </x:c>
      <x:c r="O134" s="30" t="n">
        <x:f>COUNTIFS('300题规划'!$C$2:$C$301,A134)</x:f>
        <x:v>1</x:v>
      </x:c>
      <x:c r="P134" s="5" t="str">
        <x:f>INDEX('300题规划'!$Y$2:$Y$301,MATCH(B134,'300题规划'!$A$2:$A$301,0))</x:f>
        <x:v>OpenSees</x:v>
      </x:c>
      <x:c r="Q134" s="5" t="str">
        <x:f>INDEX('300题规划'!$AB$2:$AB$301,MATCH(B134,'300题规划'!$A$2:$A$301,0))</x:f>
        <x:v>待逐题验证</x:v>
      </x:c>
    </x:row>
    <x:row r="135" ht="52.5" customHeight="1">
      <x:c r="A135" s="27" t="str">
        <x:v>M-INT-034</x:v>
      </x:c>
      <x:c r="B135" s="11" t="str">
        <x:v>INT-034</x:v>
      </x:c>
      <x:c r="C135" s="11" t="str">
        <x:v>两类腹杆截面的Howe杆系</x:v>
      </x:c>
      <x:c r="D135" s="11" t="str">
        <x:v>桁架</x:v>
      </x:c>
      <x:c r="E135" s="11" t="str">
        <x:v>2D</x:v>
      </x:c>
      <x:c r="F135" s="11" t="str">
        <x:v>L3</x:v>
      </x:c>
      <x:c r="G135" s="11" t="str">
        <x:v>跨度16m、高2.4m、4节间，连接表指定与Pratt相反的斜杆，上弦节点各12kN；所有竖杆面积0.8A、斜杆1.2A、弦杆A，均同E；替换连接时保留杆类别属性。</x:v>
      </x:c>
      <x:c r="H135" s="11" t="str">
        <x:v>名称相似而斜杆端点不同；截面分组需与交互状态独立保持</x:v>
      </x:c>
      <x:c r="I135" s="11" t="str">
        <x:v>无</x:v>
      </x:c>
      <x:c r="J135" s="11" t="str">
        <x:v>无</x:v>
      </x:c>
      <x:c r="K135" s="11" t="str">
        <x:v>相对原结构锚点新增/修改截面分组：所有竖杆面积0.8A、斜杆1.2A、弦杆A，均同E；替换连接时保留杆类别属性</x:v>
      </x:c>
      <x:c r="L135" s="11" t="str">
        <x:v>基础工具</x:v>
      </x:c>
      <x:c r="M135" s="11" t="str">
        <x:v>逐字段材料/截面数值及单位；完整支承自由度、荷载坐标与结果观测点；逐杆连接表与稳定性复核</x:v>
      </x:c>
      <x:c r="N135" s="11" t="str">
        <x:v>独立规划骨架；可执行模型/数值真值待生成</x:v>
      </x:c>
      <x:c r="O135" s="30" t="n">
        <x:f>COUNTIFS('300题规划'!$C$2:$C$301,A135)</x:f>
        <x:v>1</x:v>
      </x:c>
      <x:c r="P135" s="5" t="str">
        <x:f>INDEX('300题规划'!$Y$2:$Y$301,MATCH(B135,'300题规划'!$A$2:$A$301,0))</x:f>
        <x:v>OpenSees</x:v>
      </x:c>
      <x:c r="Q135" s="5" t="str">
        <x:f>INDEX('300题规划'!$AB$2:$AB$301,MATCH(B135,'300题规划'!$A$2:$A$301,0))</x:f>
        <x:v>待逐题验证</x:v>
      </x:c>
    </x:row>
    <x:row r="136" ht="52.5" customHeight="1">
      <x:c r="A136" s="28" t="str">
        <x:v>M-INT-035</x:v>
      </x:c>
      <x:c r="B136" s="6" t="str">
        <x:v>INT-035</x:v>
      </x:c>
      <x:c r="C136" s="6" t="str">
        <x:v>K形中点承受直接荷载的桁架</x:v>
      </x:c>
      <x:c r="D136" s="6" t="str">
        <x:v>桁架</x:v>
      </x:c>
      <x:c r="E136" s="6" t="str">
        <x:v>2D</x:v>
      </x:c>
      <x:c r="F136" s="6" t="str">
        <x:v>L3</x:v>
      </x:c>
      <x:c r="G136" s="6" t="str">
        <x:v>跨度18m、高3m、6节间，竖杆中点与K腹杆明确连接，仅左半上弦加载；除左半上弦荷载外，x=6m竖杆中点另施加向下9kN点力；左半上弦x=0/3/6/9m节点各向下8kN，其他上弦无此载。</x:v>
      </x:c>
      <x:c r="H136" s="6" t="str">
        <x:v>中间连接节点与局部荷载范围；荷载位置需与交互状态独立保持</x:v>
      </x:c>
      <x:c r="I136" s="6" t="str">
        <x:v>无</x:v>
      </x:c>
      <x:c r="J136" s="6" t="str">
        <x:v>无</x:v>
      </x:c>
      <x:c r="K136" s="6" t="str">
        <x:v>相对原结构锚点新增/修改荷载位置：除左半上弦荷载外，x=6m竖杆中点另施加向下9kN点力</x:v>
      </x:c>
      <x:c r="L136" s="6" t="str">
        <x:v>机构与连通性需独立验证</x:v>
      </x:c>
      <x:c r="M136" s="6" t="str">
        <x:v>逐字段材料/截面数值及单位；完整支承自由度、荷载坐标与结果观测点；逐杆连接表与稳定性复核</x:v>
      </x:c>
      <x:c r="N136" s="6" t="str">
        <x:v>独立规划骨架；可执行模型/数值真值待生成</x:v>
      </x:c>
      <x:c r="O136" s="30" t="n">
        <x:f>COUNTIFS('300题规划'!$C$2:$C$301,A136)</x:f>
        <x:v>1</x:v>
      </x:c>
      <x:c r="P136" s="5" t="str">
        <x:f>INDEX('300题规划'!$Y$2:$Y$301,MATCH(B136,'300题规划'!$A$2:$A$301,0))</x:f>
        <x:v>OpenSees</x:v>
      </x:c>
      <x:c r="Q136" s="5" t="str">
        <x:f>INDEX('300题规划'!$AB$2:$AB$301,MATCH(B136,'300题规划'!$A$2:$A$301,0))</x:f>
        <x:v>待逐题验证</x:v>
      </x:c>
    </x:row>
    <x:row r="137" ht="52.5" customHeight="1">
      <x:c r="A137" s="27" t="str">
        <x:v>M-INT-036</x:v>
      </x:c>
      <x:c r="B137" s="11" t="str">
        <x:v>INT-036</x:v>
      </x:c>
      <x:c r="C137" s="11" t="str">
        <x:v>两种斜杆面积的交叉杆系</x:v>
      </x:c>
      <x:c r="D137" s="11" t="str">
        <x:v>桁架</x:v>
      </x:c>
      <x:c r="E137" s="11" t="str">
        <x:v>2D</x:v>
      </x:c>
      <x:c r="F137" s="11" t="str">
        <x:v>L2</x:v>
      </x:c>
      <x:c r="G137" s="11" t="str">
        <x:v>跨度12m、高2.5m、4节间，各格X腹杆交叉处明确不连接，顶节点10kN；每格上升斜杆面积A，下降斜杆面积1.5A，弦杆竖杆均A；交叉不连接。</x:v>
      </x:c>
      <x:c r="H137" s="11" t="str">
        <x:v>交叉线不自动成结构节点；截面分组需与交互状态独立保持</x:v>
      </x:c>
      <x:c r="I137" s="11" t="str">
        <x:v>无</x:v>
      </x:c>
      <x:c r="J137" s="11" t="str">
        <x:v>无</x:v>
      </x:c>
      <x:c r="K137" s="11" t="str">
        <x:v>相对原结构锚点新增/修改截面分组：每格上升斜杆面积A，下降斜杆面积1.5A，弦杆竖杆均A；交叉不连接</x:v>
      </x:c>
      <x:c r="L137" s="11" t="str">
        <x:v>基础工具</x:v>
      </x:c>
      <x:c r="M137" s="11" t="str">
        <x:v>逐字段材料/截面数值及单位；完整支承自由度、荷载坐标与结果观测点；逐杆连接表与稳定性复核</x:v>
      </x:c>
      <x:c r="N137" s="11" t="str">
        <x:v>独立规划骨架；可执行模型/数值真值待生成</x:v>
      </x:c>
      <x:c r="O137" s="30" t="n">
        <x:f>COUNTIFS('300题规划'!$C$2:$C$301,A137)</x:f>
        <x:v>1</x:v>
      </x:c>
      <x:c r="P137" s="5" t="str">
        <x:f>INDEX('300题规划'!$Y$2:$Y$301,MATCH(B137,'300题规划'!$A$2:$A$301,0))</x:f>
        <x:v>OpenSees</x:v>
      </x:c>
      <x:c r="Q137" s="5" t="str">
        <x:f>INDEX('300题规划'!$AB$2:$AB$301,MATCH(B137,'300题规划'!$A$2:$A$301,0))</x:f>
        <x:v>待逐题验证</x:v>
      </x:c>
    </x:row>
    <x:row r="138" ht="52.5" customHeight="1">
      <x:c r="A138" s="28" t="str">
        <x:v>M-INT-037</x:v>
      </x:c>
      <x:c r="B138" s="6" t="str">
        <x:v>INT-037</x:v>
      </x:c>
      <x:c r="C138" s="6" t="str">
        <x:v>部分上弦节点带水平分量的桁架</x:v>
      </x:c>
      <x:c r="D138" s="6" t="str">
        <x:v>桁架</x:v>
      </x:c>
      <x:c r="E138" s="6" t="str">
        <x:v>2D</x:v>
      </x:c>
      <x:c r="F138" s="6" t="str">
        <x:v>L2</x:v>
      </x:c>
      <x:c r="G138" s="6" t="str">
        <x:v>节间2、3、4、3m，高2.2m，显式节点表，上弦不等节点荷载；x=5m上弦节点另施加X正向4kN，其余原不等竖向节点力保持；x=2/5/9m上弦分别向下8/12/10kN。</x:v>
      </x:c>
      <x:c r="H138" s="6" t="str">
        <x:v>不等节间坐标累加和载荷对应；荷载分量需与交互状态独立保持</x:v>
      </x:c>
      <x:c r="I138" s="6" t="str">
        <x:v>无</x:v>
      </x:c>
      <x:c r="J138" s="6" t="str">
        <x:v>无</x:v>
      </x:c>
      <x:c r="K138" s="6" t="str">
        <x:v>相对原结构锚点新增/修改荷载分量：x=5m上弦节点另施加X正向4kN，其余原不等竖向节点力保持</x:v>
      </x:c>
      <x:c r="L138" s="6" t="str">
        <x:v>基础工具</x:v>
      </x:c>
      <x:c r="M138" s="6" t="str">
        <x:v>逐字段材料/截面数值及单位；完整支承自由度、荷载坐标与结果观测点；逐杆连接表与稳定性复核</x:v>
      </x:c>
      <x:c r="N138" s="6" t="str">
        <x:v>独立规划骨架；可执行模型/数值真值待生成</x:v>
      </x:c>
      <x:c r="O138" s="30" t="n">
        <x:f>COUNTIFS('300题规划'!$C$2:$C$301,A138)</x:f>
        <x:v>1</x:v>
      </x:c>
      <x:c r="P138" s="5" t="str">
        <x:f>INDEX('300题规划'!$Y$2:$Y$301,MATCH(B138,'300题规划'!$A$2:$A$301,0))</x:f>
        <x:v>OpenSees</x:v>
      </x:c>
      <x:c r="Q138" s="5" t="str">
        <x:f>INDEX('300题规划'!$AB$2:$AB$301,MATCH(B138,'300题规划'!$A$2:$A$301,0))</x:f>
        <x:v>待逐题验证</x:v>
      </x:c>
    </x:row>
    <x:row r="139" ht="54" customHeight="1">
      <x:c r="A139" s="27" t="str">
        <x:v>M-INT-038</x:v>
      </x:c>
      <x:c r="B139" s="11" t="str">
        <x:v>INT-038</x:v>
      </x:c>
      <x:c r="C139" s="11" t="str">
        <x:v>单坡上下弦采用不同材料的桁架</x:v>
      </x:c>
      <x:c r="D139" s="11" t="str">
        <x:v>桁架</x:v>
      </x:c>
      <x:c r="E139" s="11" t="str">
        <x:v>2D</x:v>
      </x:c>
      <x:c r="F139" s="11" t="str">
        <x:v>L3</x:v>
      </x:c>
      <x:c r="G139" s="11" t="str">
        <x:v>跨度15m，下弦水平，上弦高度从1.5增到3m，完整连接表和三处偏载；上弦E=210000MPa，下弦和腹杆E=200000MPa，面积及泊松比等按完整附表；上弦x=3/9/15m分别向下8/12/6kN，另有指定材料分组。</x:v>
      </x:c>
      <x:c r="H139" s="11" t="str">
        <x:v>非对称几何和非模板拓扑；材料分组需与交互状态独立保持</x:v>
      </x:c>
      <x:c r="I139" s="11" t="str">
        <x:v>无</x:v>
      </x:c>
      <x:c r="J139" s="11" t="str">
        <x:v>无</x:v>
      </x:c>
      <x:c r="K139" s="11" t="str">
        <x:v>相对原结构锚点新增/修改材料分组：上弦E=210000MPa，下弦和腹杆E=200000MPa，面积及泊松比等按完整附表</x:v>
      </x:c>
      <x:c r="L139" s="11" t="str">
        <x:v>机构与连通性需独立验证</x:v>
      </x:c>
      <x:c r="M139" s="11" t="str">
        <x:v>逐字段材料/截面数值及单位；完整支承自由度、荷载坐标与结果观测点；逐杆连接表与稳定性复核</x:v>
      </x:c>
      <x:c r="N139" s="11" t="str">
        <x:v>独立规划骨架；可执行模型/数值真值待生成</x:v>
      </x:c>
      <x:c r="O139" s="30" t="n">
        <x:f>COUNTIFS('300题规划'!$C$2:$C$301,A139)</x:f>
        <x:v>1</x:v>
      </x:c>
      <x:c r="P139" s="5" t="str">
        <x:f>INDEX('300题规划'!$Y$2:$Y$301,MATCH(B139,'300题规划'!$A$2:$A$301,0))</x:f>
        <x:v>OpenSees</x:v>
      </x:c>
      <x:c r="Q139" s="5" t="str">
        <x:f>INDEX('300题规划'!$AB$2:$AB$301,MATCH(B139,'300题规划'!$A$2:$A$301,0))</x:f>
        <x:v>待逐题验证</x:v>
      </x:c>
    </x:row>
    <x:row r="140" ht="52.5" customHeight="1">
      <x:c r="A140" s="28" t="str">
        <x:v>M-INT-039</x:v>
      </x:c>
      <x:c r="B140" s="6" t="str">
        <x:v>INT-039</x:v>
      </x:c>
      <x:c r="C140" s="6" t="str">
        <x:v>上弦局部上拔的分组截面桁架</x:v>
      </x:c>
      <x:c r="D140" s="6" t="str">
        <x:v>桁架</x:v>
      </x:c>
      <x:c r="E140" s="6" t="str">
        <x:v>2D</x:v>
      </x:c>
      <x:c r="F140" s="6" t="str">
        <x:v>L3</x:v>
      </x:c>
      <x:c r="G140" s="6" t="str">
        <x:v>跨度20m、高3m、5节间，上下弦和腹杆分别给A1/A2/A3，分节点加载；新增独立W工况，仅上弦x=8、12m各Z正向5kN；原竖载为D，分析组合D+W；D在x=4/8/12/16m上弦各向下10kN。</x:v>
      </x:c>
      <x:c r="H140" s="6" t="str">
        <x:v>构件组属性与拓扑荷载联合映射；荷载工况需与交互状态独立保持</x:v>
      </x:c>
      <x:c r="I140" s="6" t="str">
        <x:v>无</x:v>
      </x:c>
      <x:c r="J140" s="6" t="str">
        <x:v>无</x:v>
      </x:c>
      <x:c r="K140" s="6" t="str">
        <x:v>相对原结构锚点新增/修改荷载工况：新增独立W工况，仅上弦x=8、12m各Z正向5kN；原竖载为D，分析组合D+W</x:v>
      </x:c>
      <x:c r="L140" s="6" t="str">
        <x:v>基础工具；多工况执行契约需验证</x:v>
      </x:c>
      <x:c r="M140" s="6" t="str">
        <x:v>逐字段材料/截面数值及单位；完整支承自由度、荷载坐标与结果观测点；逐杆连接表与稳定性复核；完整工况/组合系数表</x:v>
      </x:c>
      <x:c r="N140" s="6" t="str">
        <x:v>独立规划骨架；可执行模型/数值真值待生成</x:v>
      </x:c>
      <x:c r="O140" s="30" t="n">
        <x:f>COUNTIFS('300题规划'!$C$2:$C$301,A140)</x:f>
        <x:v>1</x:v>
      </x:c>
      <x:c r="P140" s="5" t="str">
        <x:f>INDEX('300题规划'!$Y$2:$Y$301,MATCH(B140,'300题规划'!$A$2:$A$301,0))</x:f>
        <x:v>OpenSees</x:v>
      </x:c>
      <x:c r="Q140" s="5" t="str">
        <x:f>INDEX('300题规划'!$AB$2:$AB$301,MATCH(B140,'300题规划'!$A$2:$A$301,0))</x:f>
        <x:v>待逐题验证</x:v>
      </x:c>
    </x:row>
    <x:row r="141" ht="54" customHeight="1">
      <x:c r="A141" s="27" t="str">
        <x:v>M-INT-040</x:v>
      </x:c>
      <x:c r="B141" s="11" t="str">
        <x:v>INT-040</x:v>
      </x:c>
      <x:c r="C141" s="11" t="str">
        <x:v>带非对称杆截面的四面体杆系</x:v>
      </x:c>
      <x:c r="D141" s="11" t="str">
        <x:v>桁架</x:v>
      </x:c>
      <x:c r="E141" s="11" t="str">
        <x:v>3D</x:v>
      </x:c>
      <x:c r="F141" s="11" t="str">
        <x:v>L3</x:v>
      </x:c>
      <x:c r="G141" s="11" t="str">
        <x:v>四节点六杆，底面边长4m、顶高3m，支承采用明确六个独立约束，顶点竖向力；底面A=(0,0,0)、B=(4,0,0)、C=(2,2√3,0)m，顶点D=(2,2√3/3,3)m；AD面积1.5A，其余五杆A；顶点向下20kN。</x:v>
      </x:c>
      <x:c r="H141" s="11" t="str">
        <x:v>空间杆连接与消除刚体运动约束；截面分组需与交互状态独立保持</x:v>
      </x:c>
      <x:c r="I141" s="11" t="str">
        <x:v>无</x:v>
      </x:c>
      <x:c r="J141" s="11" t="str">
        <x:v>无</x:v>
      </x:c>
      <x:c r="K141" s="11" t="str">
        <x:v>相对原结构锚点新增/修改截面分组：底面A=(0,0,0)、B=(4,0,0)、C=(2,2√3,0)m，顶点D=(2,2√3/3,3)m；AD面积1.5A，其余五杆A；顶点向下20kN</x:v>
      </x:c>
      <x:c r="L141" s="11" t="str">
        <x:v>空间桁架及独立真值需验证</x:v>
      </x:c>
      <x:c r="M141" s="11" t="str">
        <x:v>逐字段材料/截面数值及单位；完整支承自由度、荷载坐标与结果观测点；逐杆连接表与稳定性复核；局部轴和三向荷载约定</x:v>
      </x:c>
      <x:c r="N141" s="11" t="str">
        <x:v>独立规划骨架；可执行模型/数值真值待生成</x:v>
      </x:c>
      <x:c r="O141" s="30" t="n">
        <x:f>COUNTIFS('300题规划'!$C$2:$C$301,A141)</x:f>
        <x:v>1</x:v>
      </x:c>
      <x:c r="P141" s="5" t="str">
        <x:f>INDEX('300题规划'!$Y$2:$Y$301,MATCH(B141,'300题规划'!$A$2:$A$301,0))</x:f>
        <x:v>OpenSees</x:v>
      </x:c>
      <x:c r="Q141" s="5" t="str">
        <x:f>INDEX('300题规划'!$AB$2:$AB$301,MATCH(B141,'300题规划'!$A$2:$A$301,0))</x:f>
        <x:v>待逐题验证</x:v>
      </x:c>
    </x:row>
    <x:row r="142" ht="54" customHeight="1">
      <x:c r="A142" s="28" t="str">
        <x:v>M-INT-041</x:v>
      </x:c>
      <x:c r="B142" s="6" t="str">
        <x:v>INT-041</x:v>
      </x:c>
      <x:c r="C142" s="6" t="str">
        <x:v>一根斜杆加强的偏心方锥</x:v>
      </x:c>
      <x:c r="D142" s="6" t="str">
        <x:v>桁架</x:v>
      </x:c>
      <x:c r="E142" s="6" t="str">
        <x:v>3D</x:v>
      </x:c>
      <x:c r="F142" s="6" t="str">
        <x:v>L3</x:v>
      </x:c>
      <x:c r="G142" s="6" t="str">
        <x:v>底面6m×6m，顶点偏离中心，高3m，底边杆加四斜杆，四底节点固定，顶点双向荷载；底四角(0,0,0)/(6,0,0)/(6,6,0)/(0,6,0)m，顶点(2,3,3)m；顶点至底角(6,6,0)m的斜杆面积2A，其余底边及斜杆A；顶点Fx=20kN、Fz=-30kN；各底点三平移约束。</x:v>
      </x:c>
      <x:c r="H142" s="6" t="str">
        <x:v>偏心空间几何、三向力分量及实际受力斜杆面积分组；不以全固定底边的无效刚度改动制造差异</x:v>
      </x:c>
      <x:c r="I142" s="6" t="str">
        <x:v>无</x:v>
      </x:c>
      <x:c r="J142" s="6" t="str">
        <x:v>无</x:v>
      </x:c>
      <x:c r="K142" s="6" t="str">
        <x:v>相对原结构锚点新增/修改截面分组：底四角(0,0,0)/(6,0,0)/(6,6,0)/(0,6,0)m，顶点(2,3,3)m；顶点至底角(6,6,0)m的斜杆面积2A，其余底边及斜杆A</x:v>
      </x:c>
      <x:c r="L142" s="6" t="str">
        <x:v>空间桁架及独立真值需验证</x:v>
      </x:c>
      <x:c r="M142" s="6" t="str">
        <x:v>逐字段材料/截面数值及单位；完整支承自由度、荷载坐标与结果观测点；逐杆连接表与稳定性复核；局部轴和三向荷载约定</x:v>
      </x:c>
      <x:c r="N142" s="6" t="str">
        <x:v>独立规划骨架；可执行模型/数值真值待生成</x:v>
      </x:c>
      <x:c r="O142" s="30" t="n">
        <x:f>COUNTIFS('300题规划'!$C$2:$C$301,A142)</x:f>
        <x:v>1</x:v>
      </x:c>
      <x:c r="P142" s="5" t="str">
        <x:f>INDEX('300题规划'!$Y$2:$Y$301,MATCH(B142,'300题规划'!$A$2:$A$301,0))</x:f>
        <x:v>OpenSees</x:v>
      </x:c>
      <x:c r="Q142" s="5" t="str">
        <x:f>INDEX('300题规划'!$AB$2:$AB$301,MATCH(B142,'300题规划'!$A$2:$A$301,0))</x:f>
        <x:v>待逐题验证</x:v>
      </x:c>
    </x:row>
    <x:row r="143" ht="54" customHeight="1">
      <x:c r="A143" s="27" t="str">
        <x:v>M-INT-042</x:v>
      </x:c>
      <x:c r="B143" s="11" t="str">
        <x:v>INT-042</x:v>
      </x:c>
      <x:c r="C143" s="11" t="str">
        <x:v>分层弦杆不同面积的空间三角柱</x:v>
      </x:c>
      <x:c r="D143" s="11" t="str">
        <x:v>桁架</x:v>
      </x:c>
      <x:c r="E143" s="11" t="str">
        <x:v>3D</x:v>
      </x:c>
      <x:c r="F143" s="11" t="str">
        <x:v>L3</x:v>
      </x:c>
      <x:c r="G143" s="11" t="str">
        <x:v>底面三角形边长4m，两层各3m，弦杆横杆斜杆按表连接，底节点固定，顶层侧力；三角形底点(0,0)/(4,0)/(2,2√3)m，各层z=0、3、6m；0～3m竖弦杆2A，上层竖弦杆A，横杆斜杆A；顶层三节点各X正向10kN，底层三点三平移约束。</x:v>
      </x:c>
      <x:c r="H143" s="11" t="str">
        <x:v>跨层空间连接与杆件组；截面分组需与交互状态独立保持</x:v>
      </x:c>
      <x:c r="I143" s="11" t="str">
        <x:v>无</x:v>
      </x:c>
      <x:c r="J143" s="11" t="str">
        <x:v>无</x:v>
      </x:c>
      <x:c r="K143" s="11" t="str">
        <x:v>相对原结构锚点新增/修改截面分组：三角形底点(0,0)/(4,0)/(2,2√3)m，各层z=0、3、6m；0～3m竖弦杆2A，上层竖弦杆A，横杆斜杆A</x:v>
      </x:c>
      <x:c r="L143" s="11" t="str">
        <x:v>空间桁架及独立真值需验证</x:v>
      </x:c>
      <x:c r="M143" s="11" t="str">
        <x:v>逐字段材料/截面数值及单位；完整支承自由度、荷载坐标与结果观测点；逐杆连接表与稳定性复核；局部轴和三向荷载约定</x:v>
      </x:c>
      <x:c r="N143" s="11" t="str">
        <x:v>独立规划骨架；可执行模型/数值真值待生成</x:v>
      </x:c>
      <x:c r="O143" s="30" t="n">
        <x:f>COUNTIFS('300题规划'!$C$2:$C$301,A143)</x:f>
        <x:v>1</x:v>
      </x:c>
      <x:c r="P143" s="5" t="str">
        <x:f>INDEX('300题规划'!$Y$2:$Y$301,MATCH(B143,'300题规划'!$A$2:$A$301,0))</x:f>
        <x:v>OpenSees</x:v>
      </x:c>
      <x:c r="Q143" s="5" t="str">
        <x:f>INDEX('300题规划'!$AB$2:$AB$301,MATCH(B143,'300题规划'!$A$2:$A$301,0))</x:f>
        <x:v>待逐题验证</x:v>
      </x:c>
    </x:row>
    <x:row r="144" ht="52.5" customHeight="1">
      <x:c r="A144" s="28" t="str">
        <x:v>M-INT-043</x:v>
      </x:c>
      <x:c r="B144" s="6" t="str">
        <x:v>INT-043</x:v>
      </x:c>
      <x:c r="C144" s="6" t="str">
        <x:v>左铰右固的平屋面门架</x:v>
      </x:c>
      <x:c r="D144" s="6" t="str">
        <x:v>门式刚架</x:v>
      </x:c>
      <x:c r="E144" s="6" t="str">
        <x:v>2D</x:v>
      </x:c>
      <x:c r="F144" s="6" t="str">
        <x:v>L2</x:v>
      </x:c>
      <x:c r="G144" s="6" t="str">
        <x:v>跨度18m、高7m，左铰右固，屋面向下6kN/m；左柱脚为平面铰，右柱脚固定；屋面线载仍全跨6kN/m；左柱脚平面铰、右柱脚面内固定。</x:v>
      </x:c>
      <x:c r="H144" s="6" t="str">
        <x:v>平屋面几何和固定柱脚；边界需与交互状态独立保持</x:v>
      </x:c>
      <x:c r="I144" s="6" t="str">
        <x:v>portal-frame-static-18m</x:v>
      </x:c>
      <x:c r="J144" s="6" t="str">
        <x:v>portal-simple-18m</x:v>
      </x:c>
      <x:c r="K144" s="6" t="str">
        <x:v>相对原结构锚点新增/修改边界：左柱脚为平面铰，右柱脚固定；屋面线载仍全跨6kN/m</x:v>
      </x:c>
      <x:c r="L144" s="6" t="str">
        <x:v>基础工具</x:v>
      </x:c>
      <x:c r="M144" s="6" t="str">
        <x:v>逐字段材料/截面数值及单位；完整支承自由度、荷载坐标与结果观测点</x:v>
      </x:c>
      <x:c r="N144" s="6" t="str">
        <x:v>独立规划骨架；可执行模型/数值真值待生成</x:v>
      </x:c>
      <x:c r="O144" s="30" t="n">
        <x:f>COUNTIFS('300题规划'!$C$2:$C$301,A144)</x:f>
        <x:v>1</x:v>
      </x:c>
      <x:c r="P144" s="5" t="str">
        <x:f>INDEX('300题规划'!$Y$2:$Y$301,MATCH(B144,'300题规划'!$A$2:$A$301,0))</x:f>
        <x:v>OpenSees</x:v>
      </x:c>
      <x:c r="Q144" s="5" t="str">
        <x:f>INDEX('300题规划'!$AB$2:$AB$301,MATCH(B144,'300题规划'!$A$2:$A$301,0))</x:f>
        <x:v>待逐题验证</x:v>
      </x:c>
    </x:row>
    <x:row r="145" ht="52.5" customHeight="1">
      <x:c r="A145" s="27" t="str">
        <x:v>M-INT-044</x:v>
      </x:c>
      <x:c r="B145" s="11" t="str">
        <x:v>INT-044</x:v>
      </x:c>
      <x:c r="C145" s="11" t="str">
        <x:v>双跨门架右跨集中吊载</x:v>
      </x:c>
      <x:c r="D145" s="11" t="str">
        <x:v>门式刚架</x:v>
      </x:c>
      <x:c r="E145" s="11" t="str">
        <x:v>2D</x:v>
      </x:c>
      <x:c r="F145" s="11" t="str">
        <x:v>L2</x:v>
      </x:c>
      <x:c r="G145" s="11" t="str">
        <x:v>两跨各18m、高9m，三柱脚固定，两跨屋面6kN/m；右跨屋面跨中x=27m另有向下24kN点力，左右屋面仍6kN/m；所有柱脚面内三自由度固定。</x:v>
      </x:c>
      <x:c r="H145" s="11" t="str">
        <x:v>中柱共节点和双跨连续连接；荷载位置需与交互状态独立保持</x:v>
      </x:c>
      <x:c r="I145" s="11" t="str">
        <x:v>std-portal-double-gt</x:v>
      </x:c>
      <x:c r="J145" s="11" t="str">
        <x:v>portal-complex-ds</x:v>
      </x:c>
      <x:c r="K145" s="11" t="str">
        <x:v>相对原结构锚点新增/修改荷载位置：右跨屋面跨中x=27m另有向下24kN点力，左右屋面仍6kN/m</x:v>
      </x:c>
      <x:c r="L145" s="11" t="str">
        <x:v>基础工具</x:v>
      </x:c>
      <x:c r="M145" s="11" t="str">
        <x:v>逐字段材料/截面数值及单位；完整支承自由度、荷载坐标与结果观测点</x:v>
      </x:c>
      <x:c r="N145" s="11" t="str">
        <x:v>独立规划骨架；可执行模型/数值真值待生成</x:v>
      </x:c>
      <x:c r="O145" s="30" t="n">
        <x:f>COUNTIFS('300题规划'!$C$2:$C$301,A145)</x:f>
        <x:v>1</x:v>
      </x:c>
      <x:c r="P145" s="5" t="str">
        <x:f>INDEX('300题规划'!$Y$2:$Y$301,MATCH(B145,'300题规划'!$A$2:$A$301,0))</x:f>
        <x:v>OpenSees</x:v>
      </x:c>
      <x:c r="Q145" s="5" t="str">
        <x:f>INDEX('300题规划'!$AB$2:$AB$301,MATCH(B145,'300题规划'!$A$2:$A$301,0))</x:f>
        <x:v>待逐题验证</x:v>
      </x:c>
    </x:row>
    <x:row r="146" ht="52.5" customHeight="1">
      <x:c r="A146" s="28" t="str">
        <x:v>M-INT-045</x:v>
      </x:c>
      <x:c r="B146" s="6" t="str">
        <x:v>INT-045</x:v>
      </x:c>
      <x:c r="C146" s="6" t="str">
        <x:v>柱中侧力加屋面重力的门架</x:v>
      </x:c>
      <x:c r="D146" s="6" t="str">
        <x:v>门式刚架</x:v>
      </x:c>
      <x:c r="E146" s="6" t="str">
        <x:v>2D</x:v>
      </x:c>
      <x:c r="F146" s="6" t="str">
        <x:v>L2</x:v>
      </x:c>
      <x:c r="G146" s="6" t="str">
        <x:v>跨度21m、高7.5m，屋面8kN/m，两柱脚固定；左柱在z=3m处设连接节点并加X正向9kN，屋面8kN/m为另一独立荷载项；所有柱脚面内三自由度固定。</x:v>
      </x:c>
      <x:c r="H146" s="6" t="str">
        <x:v>屋面标高与线载方向；荷载位置需与交互状态独立保持</x:v>
      </x:c>
      <x:c r="I146" s="6" t="str">
        <x:v>portal-frame-static-en</x:v>
      </x:c>
      <x:c r="J146" s="6" t="str">
        <x:v>portal-simple-21m-7p5-8k</x:v>
      </x:c>
      <x:c r="K146" s="6" t="str">
        <x:v>相对原结构锚点新增/修改荷载位置：左柱在z=3m处设连接节点并加X正向9kN，屋面8kN/m为另一独立荷载项</x:v>
      </x:c>
      <x:c r="L146" s="6" t="str">
        <x:v>基础工具</x:v>
      </x:c>
      <x:c r="M146" s="6" t="str">
        <x:v>逐字段材料/截面数值及单位；完整支承自由度、荷载坐标与结果观测点</x:v>
      </x:c>
      <x:c r="N146" s="6" t="str">
        <x:v>独立规划骨架；可执行模型/数值真值待生成</x:v>
      </x:c>
      <x:c r="O146" s="30" t="n">
        <x:f>COUNTIFS('300题规划'!$C$2:$C$301,A146)</x:f>
        <x:v>1</x:v>
      </x:c>
      <x:c r="P146" s="5" t="str">
        <x:f>INDEX('300题规划'!$Y$2:$Y$301,MATCH(B146,'300题规划'!$A$2:$A$301,0))</x:f>
        <x:v>OpenSees</x:v>
      </x:c>
      <x:c r="Q146" s="5" t="str">
        <x:f>INDEX('300题规划'!$AB$2:$AB$301,MATCH(B146,'300题规划'!$A$2:$A$301,0))</x:f>
        <x:v>待逐题验证</x:v>
      </x:c>
    </x:row>
    <x:row r="147" ht="52.5" customHeight="1">
      <x:c r="A147" s="27" t="str">
        <x:v>M-INT-046</x:v>
      </x:c>
      <x:c r="B147" s="11" t="str">
        <x:v>INT-046</x:v>
      </x:c>
      <x:c r="C147" s="11" t="str">
        <x:v>外柱与中柱刚度不同的吊车门架</x:v>
      </x:c>
      <x:c r="D147" s="11" t="str">
        <x:v>门式刚架</x:v>
      </x:c>
      <x:c r="E147" s="11" t="str">
        <x:v>2D</x:v>
      </x:c>
      <x:c r="F147" s="11" t="str">
        <x:v>L2</x:v>
      </x:c>
      <x:c r="G147" s="11" t="str">
        <x:v>两跨18m、高9m，屋面6kN/m，中柱顶向下49kN及X向4.9kN；外柱截面C1，中柱C2；C2两弯曲惯性矩为C1的1.7倍、面积相同，屋面梁属性另给；所有柱脚面内三自由度固定。</x:v>
      </x:c>
      <x:c r="H147" s="11" t="str">
        <x:v>中柱作用点和不同方向力；截面分组需与交互状态独立保持</x:v>
      </x:c>
      <x:c r="I147" s="11" t="str">
        <x:v>portal-frame-double-span-crane-static</x:v>
      </x:c>
      <x:c r="J147" s="11" t="str">
        <x:v>portal-double-36m-9m-crane5t</x:v>
      </x:c>
      <x:c r="K147" s="11" t="str">
        <x:v>相对原结构锚点新增/修改截面分组：外柱截面C1，中柱C2；C2两弯曲惯性矩为C1的1.7倍、面积相同，屋面梁属性另给</x:v>
      </x:c>
      <x:c r="L147" s="11" t="str">
        <x:v>基础工具</x:v>
      </x:c>
      <x:c r="M147" s="11" t="str">
        <x:v>逐字段材料/截面数值及单位；完整支承自由度、荷载坐标与结果观测点</x:v>
      </x:c>
      <x:c r="N147" s="11" t="str">
        <x:v>独立规划骨架；可执行模型/数值真值待生成</x:v>
      </x:c>
      <x:c r="O147" s="30" t="n">
        <x:f>COUNTIFS('300题规划'!$C$2:$C$301,A147)</x:f>
        <x:v>1</x:v>
      </x:c>
      <x:c r="P147" s="5" t="str">
        <x:f>INDEX('300题规划'!$Y$2:$Y$301,MATCH(B147,'300题规划'!$A$2:$A$301,0))</x:f>
        <x:v>OpenSees</x:v>
      </x:c>
      <x:c r="Q147" s="5" t="str">
        <x:f>INDEX('300题规划'!$AB$2:$AB$301,MATCH(B147,'300题规划'!$A$2:$A$301,0))</x:f>
        <x:v>待逐题验证</x:v>
      </x:c>
    </x:row>
    <x:row r="148" ht="52.5" customHeight="1">
      <x:c r="A148" s="28" t="str">
        <x:v>M-INT-047</x:v>
      </x:c>
      <x:c r="B148" s="6" t="str">
        <x:v>INT-047</x:v>
      </x:c>
      <x:c r="C148" s="6" t="str">
        <x:v>带右侧固定短挑梁的夹层门架</x:v>
      </x:c>
      <x:c r="D148" s="6" t="str">
        <x:v>门式刚架</x:v>
      </x:c>
      <x:c r="E148" s="6" t="str">
        <x:v>2D</x:v>
      </x:c>
      <x:c r="F148" s="6" t="str">
        <x:v>L3</x:v>
      </x:c>
      <x:c r="G148" s="6" t="str">
        <x:v>跨度18m、高7m，左侧标高3m有6m悬挑夹层梁，屋面6、夹层4kN/m；右柱z=5m处另设向右2m刚接短挑梁，沿短挑梁向下3kN/m；左夹层仍6m；所有柱脚面内三自由度固定。</x:v>
      </x:c>
      <x:c r="H148" s="6" t="str">
        <x:v>柱上分段接入夹层及载荷分组；拓扑需与交互状态独立保持</x:v>
      </x:c>
      <x:c r="I148" s="6" t="str">
        <x:v>portal-frame-with-mezzanine</x:v>
      </x:c>
      <x:c r="J148" s="6" t="str">
        <x:v>portal-mezzanine-18m-7m</x:v>
      </x:c>
      <x:c r="K148" s="6" t="str">
        <x:v>相对原结构锚点新增/修改拓扑：右柱z=5m处另设向右2m刚接短挑梁，沿短挑梁向下3kN/m；左夹层仍6m</x:v>
      </x:c>
      <x:c r="L148" s="6" t="str">
        <x:v>基础工具</x:v>
      </x:c>
      <x:c r="M148" s="6" t="str">
        <x:v>逐字段材料/截面数值及单位；完整支承自由度、荷载坐标与结果观测点</x:v>
      </x:c>
      <x:c r="N148" s="6" t="str">
        <x:v>独立规划骨架；可执行模型/数值真值待生成</x:v>
      </x:c>
      <x:c r="O148" s="30" t="n">
        <x:f>COUNTIFS('300题规划'!$C$2:$C$301,A148)</x:f>
        <x:v>1</x:v>
      </x:c>
      <x:c r="P148" s="5" t="str">
        <x:f>INDEX('300题规划'!$Y$2:$Y$301,MATCH(B148,'300题规划'!$A$2:$A$301,0))</x:f>
        <x:v>OpenSees</x:v>
      </x:c>
      <x:c r="Q148" s="5" t="str">
        <x:f>INDEX('300题规划'!$AB$2:$AB$301,MATCH(B148,'300题规划'!$A$2:$A$301,0))</x:f>
        <x:v>待逐题验证</x:v>
      </x:c>
    </x:row>
    <x:row r="149" ht="52.5" customHeight="1">
      <x:c r="A149" s="27" t="str">
        <x:v>M-INT-048</x:v>
      </x:c>
      <x:c r="B149" s="11" t="str">
        <x:v>INT-048</x:v>
      </x:c>
      <x:c r="C149" s="11" t="str">
        <x:v>坡屋门架柱中横向集中力</x:v>
      </x:c>
      <x:c r="D149" s="11" t="str">
        <x:v>门式刚架</x:v>
      </x:c>
      <x:c r="E149" s="11" t="str">
        <x:v>2D</x:v>
      </x:c>
      <x:c r="F149" s="11" t="str">
        <x:v>L3</x:v>
      </x:c>
      <x:c r="G149" s="11" t="str">
        <x:v>跨度20m、檐高6m、屋脊高8m，柱脚固定，按屋面实际长度施加竖向6kN/m；右柱z=3m处另设节点施加X负向8kN，坡屋竖向载按真实坡长；所有柱脚面内三自由度固定。</x:v>
      </x:c>
      <x:c r="H149" s="11" t="str">
        <x:v>坡梁真实长度与全局荷载方向；荷载位置需与交互状态独立保持</x:v>
      </x:c>
      <x:c r="I149" s="11" t="str">
        <x:v>无</x:v>
      </x:c>
      <x:c r="J149" s="11" t="str">
        <x:v>无</x:v>
      </x:c>
      <x:c r="K149" s="11" t="str">
        <x:v>相对原结构锚点新增/修改荷载位置：右柱z=3m处另设节点施加X负向8kN，坡屋竖向载按真实坡长</x:v>
      </x:c>
      <x:c r="L149" s="11" t="str">
        <x:v>斜杆荷载与局部轴需验证</x:v>
      </x:c>
      <x:c r="M149" s="11" t="str">
        <x:v>逐字段材料/截面数值及单位；完整支承自由度、荷载坐标与结果观测点</x:v>
      </x:c>
      <x:c r="N149" s="11" t="str">
        <x:v>独立规划骨架；可执行模型/数值真值待生成</x:v>
      </x:c>
      <x:c r="O149" s="30" t="n">
        <x:f>COUNTIFS('300题规划'!$C$2:$C$301,A149)</x:f>
        <x:v>1</x:v>
      </x:c>
      <x:c r="P149" s="5" t="str">
        <x:f>INDEX('300题规划'!$Y$2:$Y$301,MATCH(B149,'300题规划'!$A$2:$A$301,0))</x:f>
        <x:v>OpenSees</x:v>
      </x:c>
      <x:c r="Q149" s="5" t="str">
        <x:f>INDEX('300题规划'!$AB$2:$AB$301,MATCH(B149,'300题规划'!$A$2:$A$301,0))</x:f>
        <x:v>待逐题验证</x:v>
      </x:c>
    </x:row>
    <x:row r="150" ht="52.5" customHeight="1">
      <x:c r="A150" s="28" t="str">
        <x:v>M-INT-049</x:v>
      </x:c>
      <x:c r="B150" s="6" t="str">
        <x:v>INT-049</x:v>
      </x:c>
      <x:c r="C150" s="6" t="str">
        <x:v>左右坡梁异刚度的非对称门架</x:v>
      </x:c>
      <x:c r="D150" s="6" t="str">
        <x:v>门式刚架</x:v>
      </x:c>
      <x:c r="E150" s="6" t="str">
        <x:v>2D</x:v>
      </x:c>
      <x:c r="F150" s="6" t="str">
        <x:v>L3</x:v>
      </x:c>
      <x:c r="G150" s="6" t="str">
        <x:v>跨度24m，屋脊距左柱10m，檐高6m、脊高8m，两坡不同线载；左坡梁B1、右坡梁B2，B2的Iy/Iz为B1的1.4倍；初始左坡4、右坡6kN/m，均按坡长竖向加载；所有柱脚面内三自由度固定。</x:v>
      </x:c>
      <x:c r="H150" s="6" t="str">
        <x:v>非对称坡度及两坡荷载匹配；截面分组需与交互状态独立保持</x:v>
      </x:c>
      <x:c r="I150" s="6" t="str">
        <x:v>无</x:v>
      </x:c>
      <x:c r="J150" s="6" t="str">
        <x:v>无</x:v>
      </x:c>
      <x:c r="K150" s="6" t="str">
        <x:v>相对原结构锚点新增/修改截面分组：左坡梁B1、右坡梁B2，B2的Iy/Iz为B1的1.4倍；初始左坡4、右坡6kN/m，均按坡长竖向加载</x:v>
      </x:c>
      <x:c r="L150" s="6" t="str">
        <x:v>斜杆荷载与局部轴需验证</x:v>
      </x:c>
      <x:c r="M150" s="6" t="str">
        <x:v>逐字段材料/截面数值及单位；完整支承自由度、荷载坐标与结果观测点</x:v>
      </x:c>
      <x:c r="N150" s="6" t="str">
        <x:v>独立规划骨架；可执行模型/数值真值待生成</x:v>
      </x:c>
      <x:c r="O150" s="30" t="n">
        <x:f>COUNTIFS('300题规划'!$C$2:$C$301,A150)</x:f>
        <x:v>1</x:v>
      </x:c>
      <x:c r="P150" s="5" t="str">
        <x:f>INDEX('300题规划'!$Y$2:$Y$301,MATCH(B150,'300题规划'!$A$2:$A$301,0))</x:f>
        <x:v>OpenSees</x:v>
      </x:c>
      <x:c r="Q150" s="5" t="str">
        <x:f>INDEX('300题规划'!$AB$2:$AB$301,MATCH(B150,'300题规划'!$A$2:$A$301,0))</x:f>
        <x:v>待逐题验证</x:v>
      </x:c>
    </x:row>
    <x:row r="151" ht="52.5" customHeight="1">
      <x:c r="A151" s="27" t="str">
        <x:v>M-INT-050</x:v>
      </x:c>
      <x:c r="B151" s="11" t="str">
        <x:v>INT-050</x:v>
      </x:c>
      <x:c r="C151" s="11" t="str">
        <x:v>错高门架中柱分段变刚度</x:v>
      </x:c>
      <x:c r="D151" s="11" t="str">
        <x:v>门式刚架</x:v>
      </x:c>
      <x:c r="E151" s="11" t="str">
        <x:v>2D</x:v>
      </x:c>
      <x:c r="F151" s="11" t="str">
        <x:v>L3</x:v>
      </x:c>
      <x:c r="G151" s="11" t="str">
        <x:v>两跨12、18m，屋面标高6、8m，共用中柱分段节点，屋面分别5、7kN/m；共用中柱0～6m为C1，6～8m为C2，C2的Iy/Iz为C1的一半，材料和面积相同；所有柱脚面内三自由度固定。</x:v>
      </x:c>
      <x:c r="H151" s="11" t="str">
        <x:v>错高节点不能误合并或遗漏柱段；截面分组需与交互状态独立保持</x:v>
      </x:c>
      <x:c r="I151" s="11" t="str">
        <x:v>无</x:v>
      </x:c>
      <x:c r="J151" s="11" t="str">
        <x:v>无</x:v>
      </x:c>
      <x:c r="K151" s="11" t="str">
        <x:v>相对原结构锚点新增/修改截面分组：共用中柱0～6m为C1，6～8m为C2，C2的Iy/Iz为C1的一半，材料和面积相同</x:v>
      </x:c>
      <x:c r="L151" s="11" t="str">
        <x:v>基础工具</x:v>
      </x:c>
      <x:c r="M151" s="11" t="str">
        <x:v>逐字段材料/截面数值及单位；完整支承自由度、荷载坐标与结果观测点</x:v>
      </x:c>
      <x:c r="N151" s="11" t="str">
        <x:v>独立规划骨架；可执行模型/数值真值待生成</x:v>
      </x:c>
      <x:c r="O151" s="30" t="n">
        <x:f>COUNTIFS('300题规划'!$C$2:$C$301,A151)</x:f>
        <x:v>1</x:v>
      </x:c>
      <x:c r="P151" s="5" t="str">
        <x:f>INDEX('300题规划'!$Y$2:$Y$301,MATCH(B151,'300题规划'!$A$2:$A$301,0))</x:f>
        <x:v>OpenSees</x:v>
      </x:c>
      <x:c r="Q151" s="5" t="str">
        <x:f>INDEX('300题规划'!$AB$2:$AB$301,MATCH(B151,'300题规划'!$A$2:$A$301,0))</x:f>
        <x:v>待逐题验证</x:v>
      </x:c>
    </x:row>
    <x:row r="152" ht="52.5" customHeight="1">
      <x:c r="A152" s="28" t="str">
        <x:v>M-INT-051</x:v>
      </x:c>
      <x:c r="B152" s="6" t="str">
        <x:v>INT-051</x:v>
      </x:c>
      <x:c r="C152" s="6" t="str">
        <x:v>脊点恒载与单坡上拔门架</x:v>
      </x:c>
      <x:c r="D152" s="6" t="str">
        <x:v>门式刚架</x:v>
      </x:c>
      <x:c r="E152" s="6" t="str">
        <x:v>2D</x:v>
      </x:c>
      <x:c r="F152" s="6" t="str">
        <x:v>L3</x:v>
      </x:c>
      <x:c r="G152" s="6" t="str">
        <x:v>跨度18m、檐高6m、脊高7.5m，D全屋面向下，W只右坡向上，题定组合；D除全屋面向下5kN/m外，屋脊点另向下12kN；W仅右坡向上4kN/m；组合D及D+W；所有柱脚面内三自由度固定。</x:v>
      </x:c>
      <x:c r="H152" s="6" t="str">
        <x:v>坡梁方向、局部风区与组合；荷载分布需与交互状态独立保持</x:v>
      </x:c>
      <x:c r="I152" s="6" t="str">
        <x:v>无</x:v>
      </x:c>
      <x:c r="J152" s="6" t="str">
        <x:v>无</x:v>
      </x:c>
      <x:c r="K152" s="6" t="str">
        <x:v>相对原结构锚点新增/修改荷载分布：D除全屋面向下5kN/m外，屋脊点另向下12kN；W仅右坡向上4kN/m；组合D及D+W</x:v>
      </x:c>
      <x:c r="L152" s="6" t="str">
        <x:v>斜杆荷载与多组合需验证；多组合及斜杆荷载需验证</x:v>
      </x:c>
      <x:c r="M152" s="6" t="str">
        <x:v>逐字段材料/截面数值及单位；完整支承自由度、荷载坐标与结果观测点；完整工况/组合系数表</x:v>
      </x:c>
      <x:c r="N152" s="6" t="str">
        <x:v>独立规划骨架；可执行模型/数值真值待生成</x:v>
      </x:c>
      <x:c r="O152" s="30" t="n">
        <x:f>COUNTIFS('300题规划'!$C$2:$C$301,A152)</x:f>
        <x:v>1</x:v>
      </x:c>
      <x:c r="P152" s="5" t="str">
        <x:f>INDEX('300题规划'!$Y$2:$Y$301,MATCH(B152,'300题规划'!$A$2:$A$301,0))</x:f>
        <x:v>OpenSees</x:v>
      </x:c>
      <x:c r="Q152" s="5" t="str">
        <x:f>INDEX('300题规划'!$AB$2:$AB$301,MATCH(B152,'300题规划'!$A$2:$A$301,0))</x:f>
        <x:v>待逐题验证</x:v>
      </x:c>
    </x:row>
    <x:row r="153" ht="52.5" customHeight="1">
      <x:c r="A153" s="27" t="str">
        <x:v>M-INT-052</x:v>
      </x:c>
      <x:c r="B153" s="11" t="str">
        <x:v>INT-052</x:v>
      </x:c>
      <x:c r="C153" s="11" t="str">
        <x:v>单侧铰脚的三段截面门架</x:v>
      </x:c>
      <x:c r="D153" s="11" t="str">
        <x:v>门式刚架</x:v>
      </x:c>
      <x:c r="E153" s="11" t="str">
        <x:v>2D</x:v>
      </x:c>
      <x:c r="F153" s="11" t="str">
        <x:v>L2</x:v>
      </x:c>
      <x:c r="G153" s="11" t="str">
        <x:v>跨度22m、高7m，屋面梁分三段给定常截面，不采用连续变截面单元；左柱脚铰支、右固定；屋面梁按x=0/6/16/22m分段，B1/B2/B3；向下7kN/m；左柱脚平面铰、右柱脚面内固定。</x:v>
      </x:c>
      <x:c r="H153" s="11" t="str">
        <x:v>分段属性与几何连续性；边界需与交互状态独立保持</x:v>
      </x:c>
      <x:c r="I153" s="11" t="str">
        <x:v>无</x:v>
      </x:c>
      <x:c r="J153" s="11" t="str">
        <x:v>无</x:v>
      </x:c>
      <x:c r="K153" s="11" t="str">
        <x:v>相对原结构锚点新增/修改边界：左柱脚铰支、右固定；屋面梁按x=0/6/16/22m分段，B1/B2/B3；向下7kN/m</x:v>
      </x:c>
      <x:c r="L153" s="11" t="str">
        <x:v>基础工具</x:v>
      </x:c>
      <x:c r="M153" s="11" t="str">
        <x:v>逐字段材料/截面数值及单位；完整支承自由度、荷载坐标与结果观测点</x:v>
      </x:c>
      <x:c r="N153" s="11" t="str">
        <x:v>独立规划骨架；可执行模型/数值真值待生成</x:v>
      </x:c>
      <x:c r="O153" s="30" t="n">
        <x:f>COUNTIFS('300题规划'!$C$2:$C$301,A153)</x:f>
        <x:v>1</x:v>
      </x:c>
      <x:c r="P153" s="5" t="str">
        <x:f>INDEX('300题规划'!$Y$2:$Y$301,MATCH(B153,'300题规划'!$A$2:$A$301,0))</x:f>
        <x:v>OpenSees</x:v>
      </x:c>
      <x:c r="Q153" s="5" t="str">
        <x:f>INDEX('300题规划'!$AB$2:$AB$301,MATCH(B153,'300题规划'!$A$2:$A$301,0))</x:f>
        <x:v>待逐题验证</x:v>
      </x:c>
    </x:row>
    <x:row r="154" ht="52.5" customHeight="1">
      <x:c r="A154" s="28" t="str">
        <x:v>M-INT-053</x:v>
      </x:c>
      <x:c r="B154" s="6" t="str">
        <x:v>INT-053</x:v>
      </x:c>
      <x:c r="C154" s="6" t="str">
        <x:v>混合柱脚门架附加中点力</x:v>
      </x:c>
      <x:c r="D154" s="6" t="str">
        <x:v>门式刚架</x:v>
      </x:c>
      <x:c r="E154" s="6" t="str">
        <x:v>2D</x:v>
      </x:c>
      <x:c r="F154" s="6" t="str">
        <x:v>L2</x:v>
      </x:c>
      <x:c r="G154" s="6" t="str">
        <x:v>跨度16m、高6m，左柱脚铰支右固支，竖载与右柱顶水平力；屋面均布5kN/m、右柱顶X正向12kN，屋面中点x=8m另向下20kN；左柱脚平面铰、右柱脚面内固定。</x:v>
      </x:c>
      <x:c r="H154" s="6" t="str">
        <x:v>两侧边界不同不能复制约束；荷载位置需与交互状态独立保持</x:v>
      </x:c>
      <x:c r="I154" s="6" t="str">
        <x:v>无</x:v>
      </x:c>
      <x:c r="J154" s="6" t="str">
        <x:v>无</x:v>
      </x:c>
      <x:c r="K154" s="6" t="str">
        <x:v>相对原结构锚点新增/修改荷载位置：屋面均布5kN/m、右柱顶X正向12kN，屋面中点x=8m另向下20kN</x:v>
      </x:c>
      <x:c r="L154" s="6" t="str">
        <x:v>基础工具</x:v>
      </x:c>
      <x:c r="M154" s="6" t="str">
        <x:v>逐字段材料/截面数值及单位；完整支承自由度、荷载坐标与结果观测点</x:v>
      </x:c>
      <x:c r="N154" s="6" t="str">
        <x:v>独立规划骨架；可执行模型/数值真值待生成</x:v>
      </x:c>
      <x:c r="O154" s="30" t="n">
        <x:f>COUNTIFS('300题规划'!$C$2:$C$301,A154)</x:f>
        <x:v>1</x:v>
      </x:c>
      <x:c r="P154" s="5" t="str">
        <x:f>INDEX('300题规划'!$Y$2:$Y$301,MATCH(B154,'300题规划'!$A$2:$A$301,0))</x:f>
        <x:v>OpenSees</x:v>
      </x:c>
      <x:c r="Q154" s="5" t="str">
        <x:f>INDEX('300题规划'!$AB$2:$AB$301,MATCH(B154,'300题规划'!$A$2:$A$301,0))</x:f>
        <x:v>待逐题验证</x:v>
      </x:c>
    </x:row>
    <x:row r="155" ht="52.5" customHeight="1">
      <x:c r="A155" s="27" t="str">
        <x:v>M-INT-054</x:v>
      </x:c>
      <x:c r="B155" s="11" t="str">
        <x:v>INT-054</x:v>
      </x:c>
      <x:c r="C155" s="11" t="str">
        <x:v>跨内节点恒载的分组门架</x:v>
      </x:c>
      <x:c r="D155" s="11" t="str">
        <x:v>门式刚架</x:v>
      </x:c>
      <x:c r="E155" s="11" t="str">
        <x:v>2D</x:v>
      </x:c>
      <x:c r="F155" s="11" t="str">
        <x:v>L3</x:v>
      </x:c>
      <x:c r="G155" s="11" t="str">
        <x:v>跨度12、15m、高7m，外柱中柱梁三组截面，D/W两个明确工况；D在左跨跨中x=6m另向下20kN；D屋面左/右跨分别4/6kN/m；W按三柱顶X力5/8/5kN；所有柱脚面内三自由度固定。</x:v>
      </x:c>
      <x:c r="H155" s="11" t="str">
        <x:v>构件角色分组及荷载方向；荷载分布需与交互状态独立保持</x:v>
      </x:c>
      <x:c r="I155" s="11" t="str">
        <x:v>无</x:v>
      </x:c>
      <x:c r="J155" s="11" t="str">
        <x:v>无</x:v>
      </x:c>
      <x:c r="K155" s="11" t="str">
        <x:v>相对原结构锚点新增/修改荷载分布：D在左跨跨中x=6m另向下20kN；D屋面左/右跨分别4/6kN/m；W按三柱顶X力5/8/5kN</x:v>
      </x:c>
      <x:c r="L155" s="11" t="str">
        <x:v>多组合执行契约需验证；多工况执行契约需验证</x:v>
      </x:c>
      <x:c r="M155" s="11" t="str">
        <x:v>逐字段材料/截面数值及单位；完整支承自由度、荷载坐标与结果观测点；完整工况/组合系数表</x:v>
      </x:c>
      <x:c r="N155" s="11" t="str">
        <x:v>独立规划骨架；可执行模型/数值真值待生成</x:v>
      </x:c>
      <x:c r="O155" s="30" t="n">
        <x:f>COUNTIFS('300题规划'!$C$2:$C$301,A155)</x:f>
        <x:v>1</x:v>
      </x:c>
      <x:c r="P155" s="5" t="str">
        <x:f>INDEX('300题规划'!$Y$2:$Y$301,MATCH(B155,'300题规划'!$A$2:$A$301,0))</x:f>
        <x:v>OpenSees</x:v>
      </x:c>
      <x:c r="Q155" s="5" t="str">
        <x:f>INDEX('300题规划'!$AB$2:$AB$301,MATCH(B155,'300题规划'!$A$2:$A$301,0))</x:f>
        <x:v>待逐题验证</x:v>
      </x:c>
    </x:row>
    <x:row r="156" ht="52.5" customHeight="1">
      <x:c r="A156" s="28" t="str">
        <x:v>M-INT-055</x:v>
      </x:c>
      <x:c r="B156" s="6" t="str">
        <x:v>INT-055</x:v>
      </x:c>
      <x:c r="C156" s="6" t="str">
        <x:v>两层梁截面不同的面载框架</x:v>
      </x:c>
      <x:c r="D156" s="6" t="str">
        <x:v>平面钢框架</x:v>
      </x:c>
      <x:c r="E156" s="6" t="str">
        <x:v>2D</x:v>
      </x:c>
      <x:c r="F156" s="6" t="str">
        <x:v>L2</x:v>
      </x:c>
      <x:c r="G156" s="6" t="str">
        <x:v>两层各3.6m、跨6m，面载10kN/m²按6m受荷宽度折算，仅施加线载；一层梁B1、屋面梁B2；B2的Iy/Iz为B1的0.7倍、面积相同；柱截面仍C1；所有柱脚面内三自由度固定。</x:v>
      </x:c>
      <x:c r="H156" s="6" t="str">
        <x:v>面载不能与折算线载重复；截面分组需与交互状态独立保持</x:v>
      </x:c>
      <x:c r="I156" s="6" t="str">
        <x:v>frame-2story-1bay-static</x:v>
      </x:c>
      <x:c r="J156" s="6" t="str">
        <x:v>frame-2s1b-6m-10k</x:v>
      </x:c>
      <x:c r="K156" s="6" t="str">
        <x:v>相对原结构锚点新增/修改截面分组：一层梁B1、屋面梁B2；B2的Iy/Iz为B1的0.7倍、面积相同；柱截面仍C1</x:v>
      </x:c>
      <x:c r="L156" s="6" t="str">
        <x:v>基础工具；多工况及新增/保留组合的执行契约需验证</x:v>
      </x:c>
      <x:c r="M156" s="6" t="str">
        <x:v>逐字段材料/截面数值及单位；完整支承自由度、荷载坐标与结果观测点；受荷宽度/分配规则逐梁列明；完整工况/组合系数表</x:v>
      </x:c>
      <x:c r="N156" s="6" t="str">
        <x:v>独立规划骨架；可执行模型/数值真值待生成</x:v>
      </x:c>
      <x:c r="O156" s="30" t="n">
        <x:f>COUNTIFS('300题规划'!$C$2:$C$301,A156)</x:f>
        <x:v>1</x:v>
      </x:c>
      <x:c r="P156" s="5" t="str">
        <x:f>INDEX('300题规划'!$Y$2:$Y$301,MATCH(B156,'300题规划'!$A$2:$A$301,0))</x:f>
        <x:v>OpenSees</x:v>
      </x:c>
      <x:c r="Q156" s="5" t="str">
        <x:f>INDEX('300题规划'!$AB$2:$AB$301,MATCH(B156,'300题规划'!$A$2:$A$301,0))</x:f>
        <x:v>待逐题验证</x:v>
      </x:c>
    </x:row>
    <x:row r="157" ht="52.5" customHeight="1">
      <x:c r="A157" s="27" t="str">
        <x:v>M-INT-056</x:v>
      </x:c>
      <x:c r="B157" s="11" t="str">
        <x:v>INT-056</x:v>
      </x:c>
      <x:c r="C157" s="11" t="str">
        <x:v>工业框架左柱中部设备侧力</x:v>
      </x:c>
      <x:c r="D157" s="11" t="str">
        <x:v>平面钢框架</x:v>
      </x:c>
      <x:c r="E157" s="11" t="str">
        <x:v>2D</x:v>
      </x:c>
      <x:c r="F157" s="11" t="str">
        <x:v>L2</x:v>
      </x:c>
      <x:c r="G157" s="11" t="str">
        <x:v>跨度24m、高12m，屋面36kN/m，右柱顶向下98kN及X向10kN；左柱z=6m处另设节点并加X正向14kN，右柱顶吊车两分量仍独立；所有柱脚面内三自由度固定。</x:v>
      </x:c>
      <x:c r="H157" s="11" t="str">
        <x:v>吊车等效荷载方向与屋面分项；荷载位置需与交互状态独立保持</x:v>
      </x:c>
      <x:c r="I157" s="11" t="str">
        <x:v>frame-industrial-heavy</x:v>
      </x:c>
      <x:c r="J157" s="11" t="str">
        <x:v>frame-industrial-24m-12m-crane10t</x:v>
      </x:c>
      <x:c r="K157" s="11" t="str">
        <x:v>相对原结构锚点新增/修改荷载位置：左柱z=6m处另设节点并加X正向14kN，右柱顶吊车两分量仍独立</x:v>
      </x:c>
      <x:c r="L157" s="11" t="str">
        <x:v>基础工具</x:v>
      </x:c>
      <x:c r="M157" s="11" t="str">
        <x:v>逐字段材料/截面数值及单位；完整支承自由度、荷载坐标与结果观测点</x:v>
      </x:c>
      <x:c r="N157" s="11" t="str">
        <x:v>独立规划骨架；可执行模型/数值真值待生成</x:v>
      </x:c>
      <x:c r="O157" s="30" t="n">
        <x:f>COUNTIFS('300题规划'!$C$2:$C$301,A157)</x:f>
        <x:v>1</x:v>
      </x:c>
      <x:c r="P157" s="5" t="str">
        <x:f>INDEX('300题规划'!$Y$2:$Y$301,MATCH(B157,'300题规划'!$A$2:$A$301,0))</x:f>
        <x:v>OpenSees</x:v>
      </x:c>
      <x:c r="Q157" s="5" t="str">
        <x:f>INDEX('300题规划'!$AB$2:$AB$301,MATCH(B157,'300题规划'!$A$2:$A$301,0))</x:f>
        <x:v>待逐题验证</x:v>
      </x:c>
    </x:row>
    <x:row r="158" ht="52.5" customHeight="1">
      <x:c r="A158" s="28" t="str">
        <x:v>M-INT-057</x:v>
      </x:c>
      <x:c r="B158" s="6" t="str">
        <x:v>INT-057</x:v>
      </x:c>
      <x:c r="C158" s="6" t="str">
        <x:v>仅第二跨梁重力加载的三层框架</x:v>
      </x:c>
      <x:c r="D158" s="6" t="str">
        <x:v>平面钢框架</x:v>
      </x:c>
      <x:c r="E158" s="6" t="str">
        <x:v>2D</x:v>
      </x:c>
      <x:c r="F158" s="6" t="str">
        <x:v>L2</x:v>
      </x:c>
      <x:c r="G158" s="6" t="str">
        <x:v>三层各3.6m、两跨6m，仅各层第二跨梁10kN/m，右侧逐层X向10、15、20kN；10kN/m仅作用每层第二跨6～12m梁，第一跨梁保留但无重力线载；所有柱脚面内三自由度固定。</x:v>
      </x:c>
      <x:c r="H158" s="6" t="str">
        <x:v>楼层作用点和力值顺序；荷载分布需与交互状态独立保持</x:v>
      </x:c>
      <x:c r="I158" s="6" t="str">
        <x:v>std-frame-3s2b-wind</x:v>
      </x:c>
      <x:c r="J158" s="6" t="str">
        <x:v>frame-3s2b-6m-10k-wind</x:v>
      </x:c>
      <x:c r="K158" s="6" t="str">
        <x:v>相对原结构锚点新增/修改荷载分布：10kN/m仅作用每层第二跨6～12m梁，第一跨梁保留但无重力线载</x:v>
      </x:c>
      <x:c r="L158" s="6" t="str">
        <x:v>基础工具</x:v>
      </x:c>
      <x:c r="M158" s="6" t="str">
        <x:v>逐字段材料/截面数值及单位；完整支承自由度、荷载坐标与结果观测点</x:v>
      </x:c>
      <x:c r="N158" s="6" t="str">
        <x:v>独立规划骨架；可执行模型/数值真值待生成</x:v>
      </x:c>
      <x:c r="O158" s="30" t="n">
        <x:f>COUNTIFS('300题规划'!$C$2:$C$301,A158)</x:f>
        <x:v>1</x:v>
      </x:c>
      <x:c r="P158" s="5" t="str">
        <x:f>INDEX('300题规划'!$Y$2:$Y$301,MATCH(B158,'300题规划'!$A$2:$A$301,0))</x:f>
        <x:v>OpenSees</x:v>
      </x:c>
      <x:c r="Q158" s="5" t="str">
        <x:f>INDEX('300题规划'!$AB$2:$AB$301,MATCH(B158,'300题规划'!$A$2:$A$301,0))</x:f>
        <x:v>待逐题验证</x:v>
      </x:c>
    </x:row>
    <x:row r="159" ht="52.5" customHeight="1">
      <x:c r="A159" s="27" t="str">
        <x:v>M-INT-058</x:v>
      </x:c>
      <x:c r="B159" s="11" t="str">
        <x:v>INT-058</x:v>
      </x:c>
      <x:c r="C159" s="11" t="str">
        <x:v>重力与可变水平力单层框架</x:v>
      </x:c>
      <x:c r="D159" s="11" t="str">
        <x:v>平面钢框架</x:v>
      </x:c>
      <x:c r="E159" s="11" t="str">
        <x:v>2D</x:v>
      </x:c>
      <x:c r="F159" s="11" t="str">
        <x:v>L1</x:v>
      </x:c>
      <x:c r="G159" s="11" t="str">
        <x:v>跨6m、高4m、两柱脚固定，右上节点X向50kN；屋面梁另施加全跨向下6kN/m，右上水平50kN仍为独立项；所有柱脚面内三自由度固定。</x:v>
      </x:c>
      <x:c r="H159" s="11" t="str">
        <x:v>完整物理框架不因generic而升级难度；荷载分量需与交互状态独立保持</x:v>
      </x:c>
      <x:c r="I159" s="11" t="str">
        <x:v>std-generic-single-bay-lateral</x:v>
      </x:c>
      <x:c r="J159" s="11" t="str">
        <x:v>generic-single-bay-6m-4m-lateral50</x:v>
      </x:c>
      <x:c r="K159" s="11" t="str">
        <x:v>相对原结构锚点新增/修改荷载分量：屋面梁另施加全跨向下6kN/m，右上水平50kN仍为独立项</x:v>
      </x:c>
      <x:c r="L159" s="11" t="str">
        <x:v>基础工具</x:v>
      </x:c>
      <x:c r="M159" s="11" t="str">
        <x:v>逐字段材料/截面数值及单位；完整支承自由度、荷载坐标与结果观测点</x:v>
      </x:c>
      <x:c r="N159" s="11" t="str">
        <x:v>独立规划骨架；可执行模型/数值真值待生成</x:v>
      </x:c>
      <x:c r="O159" s="30" t="n">
        <x:f>COUNTIFS('300题规划'!$C$2:$C$301,A159)</x:f>
        <x:v>1</x:v>
      </x:c>
      <x:c r="P159" s="5" t="str">
        <x:f>INDEX('300题规划'!$Y$2:$Y$301,MATCH(B159,'300题规划'!$A$2:$A$301,0))</x:f>
        <x:v>OpenSees</x:v>
      </x:c>
      <x:c r="Q159" s="5" t="str">
        <x:f>INDEX('300题规划'!$AB$2:$AB$301,MATCH(B159,'300题规划'!$A$2:$A$301,0))</x:f>
        <x:v>待逐题验证</x:v>
      </x:c>
    </x:row>
    <x:row r="160" ht="52.5" customHeight="1">
      <x:c r="A160" s="28" t="str">
        <x:v>M-INT-059</x:v>
      </x:c>
      <x:c r="B160" s="6" t="str">
        <x:v>INT-059</x:v>
      </x:c>
      <x:c r="C160" s="6" t="str">
        <x:v>左右柱不同刚度的面载框架</x:v>
      </x:c>
      <x:c r="D160" s="6" t="str">
        <x:v>平面钢框架</x:v>
      </x:c>
      <x:c r="E160" s="6" t="str">
        <x:v>2D</x:v>
      </x:c>
      <x:c r="F160" s="6" t="str">
        <x:v>L2</x:v>
      </x:c>
      <x:c r="G160" s="6" t="str">
        <x:v>跨6m、高4.5m，屋面8kN/m²按6m受荷宽度折算，两柱脚固定；左柱C1、右柱C2，C2的Iy/Iz为C1的1.3倍、面积相同，梁仍B1；所有柱脚面内三自由度固定。</x:v>
      </x:c>
      <x:c r="H160" s="6" t="str">
        <x:v>普通刚接框架与门架标签分开；截面分组需与交互状态独立保持</x:v>
      </x:c>
      <x:c r="I160" s="6" t="str">
        <x:v>re-frame-simple-1s1b-mechanics</x:v>
      </x:c>
      <x:c r="J160" s="6" t="str">
        <x:v>frame-simple-1s1b</x:v>
      </x:c>
      <x:c r="K160" s="6" t="str">
        <x:v>相对原结构锚点新增/修改截面分组：左柱C1、右柱C2，C2的Iy/Iz为C1的1.3倍、面积相同，梁仍B1</x:v>
      </x:c>
      <x:c r="L160" s="6" t="str">
        <x:v>基础工具</x:v>
      </x:c>
      <x:c r="M160" s="6" t="str">
        <x:v>逐字段材料/截面数值及单位；完整支承自由度、荷载坐标与结果观测点；受荷宽度/分配规则逐梁列明</x:v>
      </x:c>
      <x:c r="N160" s="6" t="str">
        <x:v>独立规划骨架；可执行模型/数值真值待生成</x:v>
      </x:c>
      <x:c r="O160" s="30" t="n">
        <x:f>COUNTIFS('300题规划'!$C$2:$C$301,A160)</x:f>
        <x:v>1</x:v>
      </x:c>
      <x:c r="P160" s="5" t="str">
        <x:f>INDEX('300题规划'!$Y$2:$Y$301,MATCH(B160,'300题规划'!$A$2:$A$301,0))</x:f>
        <x:v>OpenSees</x:v>
      </x:c>
      <x:c r="Q160" s="5" t="str">
        <x:f>INDEX('300题规划'!$AB$2:$AB$301,MATCH(B160,'300题规划'!$A$2:$A$301,0))</x:f>
        <x:v>待逐题验证</x:v>
      </x:c>
    </x:row>
    <x:row r="161" ht="52.5" customHeight="1">
      <x:c r="A161" s="27" t="str">
        <x:v>M-INT-060</x:v>
      </x:c>
      <x:c r="B161" s="11" t="str">
        <x:v>INT-060</x:v>
      </x:c>
      <x:c r="C161" s="11" t="str">
        <x:v>中柱加强的不等跨恒活载框架</x:v>
      </x:c>
      <x:c r="D161" s="11" t="str">
        <x:v>平面钢框架</x:v>
      </x:c>
      <x:c r="E161" s="11" t="str">
        <x:v>2D</x:v>
      </x:c>
      <x:c r="F161" s="11" t="str">
        <x:v>L3</x:v>
      </x:c>
      <x:c r="G161" s="11" t="str">
        <x:v>两层各3.6m，跨度5.4、6m，D=10、L=8kN/m，组合1.2D+1.4L；各层中柱C2、外柱C1，C2的Iy/Iz为C1的1.8倍、面积同C1，梁属性不变；所有柱脚面内三自由度固定。</x:v>
      </x:c>
      <x:c r="H161" s="11" t="str">
        <x:v>不等跨及恒活载分离；截面分组需与交互状态独立保持</x:v>
      </x:c>
      <x:c r="I161" s="11" t="str">
        <x:v>re-dxf-frame-complex-2s2b</x:v>
      </x:c>
      <x:c r="J161" s="11" t="str">
        <x:v>frame-complex-2s2b</x:v>
      </x:c>
      <x:c r="K161" s="11" t="str">
        <x:v>相对原结构锚点新增/修改截面分组：各层中柱C2、外柱C1，C2的Iy/Iz为C1的1.8倍、面积同C1，梁属性不变</x:v>
      </x:c>
      <x:c r="L161" s="11" t="str">
        <x:v>基础工具；多工况及新增/保留组合的执行契约需验证</x:v>
      </x:c>
      <x:c r="M161" s="11" t="str">
        <x:v>逐字段材料/截面数值及单位；完整支承自由度、荷载坐标与结果观测点；完整工况/组合系数表</x:v>
      </x:c>
      <x:c r="N161" s="11" t="str">
        <x:v>独立规划骨架；可执行模型/数值真值待生成</x:v>
      </x:c>
      <x:c r="O161" s="30" t="n">
        <x:f>COUNTIFS('300题规划'!$C$2:$C$301,A161)</x:f>
        <x:v>1</x:v>
      </x:c>
      <x:c r="P161" s="5" t="str">
        <x:f>INDEX('300题规划'!$Y$2:$Y$301,MATCH(B161,'300题规划'!$A$2:$A$301,0))</x:f>
        <x:v>OpenSees</x:v>
      </x:c>
      <x:c r="Q161" s="5" t="str">
        <x:f>INDEX('300题规划'!$AB$2:$AB$301,MATCH(B161,'300题规划'!$A$2:$A$301,0))</x:f>
        <x:v>待逐题验证</x:v>
      </x:c>
    </x:row>
    <x:row r="162" ht="54" customHeight="1">
      <x:c r="A162" s="28" t="str">
        <x:v>M-INT-061</x:v>
      </x:c>
      <x:c r="B162" s="6" t="str">
        <x:v>INT-061</x:v>
      </x:c>
      <x:c r="C162" s="6" t="str">
        <x:v>非等层框架首层梁不同材料</x:v>
      </x:c>
      <x:c r="D162" s="6" t="str">
        <x:v>平面钢框架</x:v>
      </x:c>
      <x:c r="E162" s="6" t="str">
        <x:v>2D</x:v>
      </x:c>
      <x:c r="F162" s="6" t="str">
        <x:v>L2</x:v>
      </x:c>
      <x:c r="G162" s="6" t="str">
        <x:v>两层3.6、4.2m，两跨4.5、7.5m，逐梁明示线载；一层梁E=210000MPa，其余梁柱E=200000MPa，全部完整材料属性显式提供；所有柱脚面内三自由度固定；柱线x=0/4.5/12m，楼层z=0/3.6/7.8m；每层两梁完整连接；一层所有梁向下8kN/m、二层所有梁向下12kN/m。</x:v>
      </x:c>
      <x:c r="H162" s="6" t="str">
        <x:v>标高累加与跨度列表；材料分组需与交互状态独立保持</x:v>
      </x:c>
      <x:c r="I162" s="6" t="str">
        <x:v>无</x:v>
      </x:c>
      <x:c r="J162" s="6" t="str">
        <x:v>无</x:v>
      </x:c>
      <x:c r="K162" s="6" t="str">
        <x:v>相对原结构锚点新增/修改材料分组：一层梁E=210000MPa，其余梁柱E=200000MPa，全部完整材料属性显式提供</x:v>
      </x:c>
      <x:c r="L162" s="6" t="str">
        <x:v>基础工具</x:v>
      </x:c>
      <x:c r="M162" s="6" t="str">
        <x:v>逐字段材料/截面数值及单位；完整支承自由度、荷载坐标与结果观测点</x:v>
      </x:c>
      <x:c r="N162" s="6" t="str">
        <x:v>独立规划骨架；可执行模型/数值真值待生成</x:v>
      </x:c>
      <x:c r="O162" s="30" t="n">
        <x:f>COUNTIFS('300题规划'!$C$2:$C$301,A162)</x:f>
        <x:v>1</x:v>
      </x:c>
      <x:c r="P162" s="5" t="str">
        <x:f>INDEX('300题规划'!$Y$2:$Y$301,MATCH(B162,'300题规划'!$A$2:$A$301,0))</x:f>
        <x:v>OpenSees</x:v>
      </x:c>
      <x:c r="Q162" s="5" t="str">
        <x:f>INDEX('300题规划'!$AB$2:$AB$301,MATCH(B162,'300题规划'!$A$2:$A$301,0))</x:f>
        <x:v>待逐题验证</x:v>
      </x:c>
    </x:row>
    <x:row r="163" ht="52.5" customHeight="1">
      <x:c r="A163" s="27" t="str">
        <x:v>M-INT-062</x:v>
      </x:c>
      <x:c r="B163" s="11" t="str">
        <x:v>INT-062</x:v>
      </x:c>
      <x:c r="C163" s="11" t="str">
        <x:v>退台框架下层空旷侧新增设备点力</x:v>
      </x:c>
      <x:c r="D163" s="11" t="str">
        <x:v>平面钢框架</x:v>
      </x:c>
      <x:c r="E163" s="11" t="str">
        <x:v>2D</x:v>
      </x:c>
      <x:c r="F163" s="11" t="str">
        <x:v>L2</x:v>
      </x:c>
      <x:c r="G163" s="11" t="str">
        <x:v>下层两跨各6m，上层仅左跨保留，层高3.6、3.3m，各层梁10kN/m；下层右跨梁中点x=9m,z=3.6m另向下18kN，上层右跨仍不存在；所有柱脚面内三自由度固定。</x:v>
      </x:c>
      <x:c r="H163" s="11" t="str">
        <x:v>缺失上层右跨不能按规则网格补全；荷载位置需与交互状态独立保持</x:v>
      </x:c>
      <x:c r="I163" s="11" t="str">
        <x:v>无</x:v>
      </x:c>
      <x:c r="J163" s="11" t="str">
        <x:v>无</x:v>
      </x:c>
      <x:c r="K163" s="11" t="str">
        <x:v>相对原结构锚点新增/修改荷载位置：下层右跨梁中点x=9m,z=3.6m另向下18kN，上层右跨仍不存在</x:v>
      </x:c>
      <x:c r="L163" s="11" t="str">
        <x:v>基础工具</x:v>
      </x:c>
      <x:c r="M163" s="11" t="str">
        <x:v>逐字段材料/截面数值及单位；完整支承自由度、荷载坐标与结果观测点</x:v>
      </x:c>
      <x:c r="N163" s="11" t="str">
        <x:v>独立规划骨架；可执行模型/数值真值待生成</x:v>
      </x:c>
      <x:c r="O163" s="30" t="n">
        <x:f>COUNTIFS('300题规划'!$C$2:$C$301,A163)</x:f>
        <x:v>1</x:v>
      </x:c>
      <x:c r="P163" s="5" t="str">
        <x:f>INDEX('300题规划'!$Y$2:$Y$301,MATCH(B163,'300题规划'!$A$2:$A$301,0))</x:f>
        <x:v>OpenSees</x:v>
      </x:c>
      <x:c r="Q163" s="5" t="str">
        <x:f>INDEX('300题规划'!$AB$2:$AB$301,MATCH(B163,'300题规划'!$A$2:$A$301,0))</x:f>
        <x:v>待逐题验证</x:v>
      </x:c>
    </x:row>
    <x:row r="164" ht="54" customHeight="1">
      <x:c r="A164" s="28" t="str">
        <x:v>M-INT-063</x:v>
      </x:c>
      <x:c r="B164" s="6" t="str">
        <x:v>INT-063</x:v>
      </x:c>
      <x:c r="C164" s="6" t="str">
        <x:v>上层右柱顶双向平面力的支撑框架</x:v>
      </x:c>
      <x:c r="D164" s="6" t="str">
        <x:v>平面钢框架</x:v>
      </x:c>
      <x:c r="E164" s="6" t="str">
        <x:v>2D</x:v>
      </x:c>
      <x:c r="F164" s="6" t="str">
        <x:v>L3</x:v>
      </x:c>
      <x:c r="G164" s="6" t="str">
        <x:v>两层单跨6m，各3.6m，第一层设两根轴力支撑，其余刚接梁柱；屋面右节点除竖载外另施加X正向18kN，斜撑只在第一层；所有柱脚面内三自由度固定；节点按x=0/6m、z=0/3.6/7.2m；第一层两对角轴力杆交叉不连接；各层梁向下10kN/m。</x:v>
      </x:c>
      <x:c r="H164" s="6" t="str">
        <x:v>梁柱与桁架杆混合类型及交叉语义；荷载分量需与交互状态独立保持</x:v>
      </x:c>
      <x:c r="I164" s="6" t="str">
        <x:v>无</x:v>
      </x:c>
      <x:c r="J164" s="6" t="str">
        <x:v>无</x:v>
      </x:c>
      <x:c r="K164" s="6" t="str">
        <x:v>相对原结构锚点新增/修改荷载分量：屋面右节点除竖载外另施加X正向18kN，斜撑只在第一层</x:v>
      </x:c>
      <x:c r="L164" s="6" t="str">
        <x:v>混合单元工具链需验证</x:v>
      </x:c>
      <x:c r="M164" s="6" t="str">
        <x:v>逐字段材料/截面数值及单位；完整支承自由度、荷载坐标与结果观测点</x:v>
      </x:c>
      <x:c r="N164" s="6" t="str">
        <x:v>独立规划骨架；可执行模型/数值真值待生成</x:v>
      </x:c>
      <x:c r="O164" s="30" t="n">
        <x:f>COUNTIFS('300题规划'!$C$2:$C$301,A164)</x:f>
        <x:v>1</x:v>
      </x:c>
      <x:c r="P164" s="5" t="str">
        <x:f>INDEX('300题规划'!$Y$2:$Y$301,MATCH(B164,'300题规划'!$A$2:$A$301,0))</x:f>
        <x:v>OpenSees</x:v>
      </x:c>
      <x:c r="Q164" s="5" t="str">
        <x:f>INDEX('300题规划'!$AB$2:$AB$301,MATCH(B164,'300题规划'!$A$2:$A$301,0))</x:f>
        <x:v>待逐题验证</x:v>
      </x:c>
    </x:row>
    <x:row r="165" ht="54" customHeight="1">
      <x:c r="A165" s="27" t="str">
        <x:v>M-INT-064</x:v>
      </x:c>
      <x:c r="B165" s="11" t="str">
        <x:v>INT-064</x:v>
      </x:c>
      <x:c r="C165" s="11" t="str">
        <x:v>一层主梁加集中力的双层外挑框架</x:v>
      </x:c>
      <x:c r="D165" s="11" t="str">
        <x:v>平面钢框架</x:v>
      </x:c>
      <x:c r="E165" s="11" t="str">
        <x:v>2D</x:v>
      </x:c>
      <x:c r="F165" s="11" t="str">
        <x:v>L3</x:v>
      </x:c>
      <x:c r="G165" s="11" t="str">
        <x:v>两层单跨6m，两层右侧各外挑1.5m，外挑与主梁不同载荷；一层主跨梁跨中x=3m,z=3.6m另向下22kN，外挑荷载仍按各段原值；所有柱脚面内三自由度固定；主柱线x=0/6m，楼层z=0/3.6/7.2m；两层各右外伸1.5m，主梁10、外伸梁6kN/m。</x:v>
      </x:c>
      <x:c r="H165" s="11" t="str">
        <x:v>悬挑连接与楼层加载区域；荷载位置需与交互状态独立保持</x:v>
      </x:c>
      <x:c r="I165" s="11" t="str">
        <x:v>无</x:v>
      </x:c>
      <x:c r="J165" s="11" t="str">
        <x:v>无</x:v>
      </x:c>
      <x:c r="K165" s="11" t="str">
        <x:v>相对原结构锚点新增/修改荷载位置：一层主跨梁跨中x=3m,z=3.6m另向下22kN，外挑荷载仍按各段原值</x:v>
      </x:c>
      <x:c r="L165" s="11" t="str">
        <x:v>基础工具</x:v>
      </x:c>
      <x:c r="M165" s="11" t="str">
        <x:v>逐字段材料/截面数值及单位；完整支承自由度、荷载坐标与结果观测点</x:v>
      </x:c>
      <x:c r="N165" s="11" t="str">
        <x:v>独立规划骨架；可执行模型/数值真值待生成</x:v>
      </x:c>
      <x:c r="O165" s="30" t="n">
        <x:f>COUNTIFS('300题规划'!$C$2:$C$301,A165)</x:f>
        <x:v>1</x:v>
      </x:c>
      <x:c r="P165" s="5" t="str">
        <x:f>INDEX('300题规划'!$Y$2:$Y$301,MATCH(B165,'300题规划'!$A$2:$A$301,0))</x:f>
        <x:v>OpenSees</x:v>
      </x:c>
      <x:c r="Q165" s="5" t="str">
        <x:f>INDEX('300题规划'!$AB$2:$AB$301,MATCH(B165,'300题规划'!$A$2:$A$301,0))</x:f>
        <x:v>待逐题验证</x:v>
      </x:c>
    </x:row>
    <x:row r="166" ht="52.5" customHeight="1">
      <x:c r="A166" s="28" t="str">
        <x:v>M-INT-065</x:v>
      </x:c>
      <x:c r="B166" s="6" t="str">
        <x:v>INT-065</x:v>
      </x:c>
      <x:c r="C166" s="6" t="str">
        <x:v>顶层梁刚度不同的分层载框架</x:v>
      </x:c>
      <x:c r="D166" s="6" t="str">
        <x:v>平面钢框架</x:v>
      </x:c>
      <x:c r="E166" s="6" t="str">
        <x:v>2D</x:v>
      </x:c>
      <x:c r="F166" s="6" t="str">
        <x:v>L2</x:v>
      </x:c>
      <x:c r="G166" s="6" t="str">
        <x:v>三层各3.3m，两跨5m，逐层线载12、10、6kN/m；一二层梁B1、顶层梁B2，B2的Iy/Iz为B1的0.6倍、面积相同；所有柱脚面内三自由度固定。</x:v>
      </x:c>
      <x:c r="H166" s="6" t="str">
        <x:v>不得把第一层荷载复制全楼；截面分组需与交互状态独立保持</x:v>
      </x:c>
      <x:c r="I166" s="6" t="str">
        <x:v>无</x:v>
      </x:c>
      <x:c r="J166" s="6" t="str">
        <x:v>无</x:v>
      </x:c>
      <x:c r="K166" s="6" t="str">
        <x:v>相对原结构锚点新增/修改截面分组：一二层梁B1、顶层梁B2，B2的Iy/Iz为B1的0.6倍、面积相同</x:v>
      </x:c>
      <x:c r="L166" s="6" t="str">
        <x:v>基础工具</x:v>
      </x:c>
      <x:c r="M166" s="6" t="str">
        <x:v>逐字段材料/截面数值及单位；完整支承自由度、荷载坐标与结果观测点</x:v>
      </x:c>
      <x:c r="N166" s="6" t="str">
        <x:v>独立规划骨架；可执行模型/数值真值待生成</x:v>
      </x:c>
      <x:c r="O166" s="30" t="n">
        <x:f>COUNTIFS('300题规划'!$C$2:$C$301,A166)</x:f>
        <x:v>1</x:v>
      </x:c>
      <x:c r="P166" s="5" t="str">
        <x:f>INDEX('300题规划'!$Y$2:$Y$301,MATCH(B166,'300题规划'!$A$2:$A$301,0))</x:f>
        <x:v>OpenSees</x:v>
      </x:c>
      <x:c r="Q166" s="5" t="str">
        <x:f>INDEX('300题规划'!$AB$2:$AB$301,MATCH(B166,'300题规划'!$A$2:$A$301,0))</x:f>
        <x:v>待逐题验证</x:v>
      </x:c>
    </x:row>
    <x:row r="167" ht="54" customHeight="1">
      <x:c r="A167" s="27" t="str">
        <x:v>M-INT-066</x:v>
      </x:c>
      <x:c r="B167" s="11" t="str">
        <x:v>INT-066</x:v>
      </x:c>
      <x:c r="C167" s="11" t="str">
        <x:v>柱中侧载的多截面组框架</x:v>
      </x:c>
      <x:c r="D167" s="11" t="str">
        <x:v>平面钢框架</x:v>
      </x:c>
      <x:c r="E167" s="11" t="str">
        <x:v>2D</x:v>
      </x:c>
      <x:c r="F167" s="11" t="str">
        <x:v>L3</x:v>
      </x:c>
      <x:c r="G167" s="11" t="str">
        <x:v>两层两跨6m，边柱中柱两类截面，左梁右梁两类截面，侧载与竖载；首层中柱z=1.8m处新增连接节点并加X负向7kN，原侧载与竖载按附件保留；所有柱脚面内三自由度固定；柱线x=0/6/12m，楼层z=0/3.6/7.2m；所有梁向下10kN/m，右端一二层X侧力10/15kN。</x:v>
      </x:c>
      <x:c r="H167" s="11" t="str">
        <x:v>成员组和属性表对应关系；荷载位置需与交互状态独立保持</x:v>
      </x:c>
      <x:c r="I167" s="11" t="str">
        <x:v>无</x:v>
      </x:c>
      <x:c r="J167" s="11" t="str">
        <x:v>无</x:v>
      </x:c>
      <x:c r="K167" s="11" t="str">
        <x:v>相对原结构锚点新增/修改荷载位置：首层中柱z=1.8m处新增连接节点并加X负向7kN，原侧载与竖载按附件保留</x:v>
      </x:c>
      <x:c r="L167" s="11" t="str">
        <x:v>基础工具</x:v>
      </x:c>
      <x:c r="M167" s="11" t="str">
        <x:v>逐字段材料/截面数值及单位；完整支承自由度、荷载坐标与结果观测点</x:v>
      </x:c>
      <x:c r="N167" s="11" t="str">
        <x:v>独立规划骨架；可执行模型/数值真值待生成</x:v>
      </x:c>
      <x:c r="O167" s="30" t="n">
        <x:f>COUNTIFS('300题规划'!$C$2:$C$301,A167)</x:f>
        <x:v>1</x:v>
      </x:c>
      <x:c r="P167" s="5" t="str">
        <x:f>INDEX('300题规划'!$Y$2:$Y$301,MATCH(B167,'300题规划'!$A$2:$A$301,0))</x:f>
        <x:v>OpenSees</x:v>
      </x:c>
      <x:c r="Q167" s="5" t="str">
        <x:f>INDEX('300题规划'!$AB$2:$AB$301,MATCH(B167,'300题规划'!$A$2:$A$301,0))</x:f>
        <x:v>待逐题验证</x:v>
      </x:c>
    </x:row>
    <x:row r="168" ht="54" customHeight="1">
      <x:c r="A168" s="28" t="str">
        <x:v>M-INT-067</x:v>
      </x:c>
      <x:c r="B168" s="6" t="str">
        <x:v>INT-067</x:v>
      </x:c>
      <x:c r="C168" s="6" t="str">
        <x:v>上层跨梁局部均布载的缺柱框架</x:v>
      </x:c>
      <x:c r="D168" s="6" t="str">
        <x:v>平面钢框架</x:v>
      </x:c>
      <x:c r="E168" s="6" t="str">
        <x:v>2D</x:v>
      </x:c>
      <x:c r="F168" s="6" t="str">
        <x:v>L3</x:v>
      </x:c>
      <x:c r="G168" s="6" t="str">
        <x:v>两层两跨5m，下层中柱保留，上层中柱取消且上层梁按连续梁明确建模；上层梁仅x=2～8m向下9kN/m，下层梁全跨10kN/m；其他连接按原非规则表；所有柱脚面内三自由度固定；柱线x=0/5/10m，楼层z=0/3.6/7.2m；二层x=5m柱取消但上层梁保持共节点连续，其他梁柱完整。</x:v>
      </x:c>
      <x:c r="H168" s="6" t="str">
        <x:v>按实际连接表处理非规则柱线；荷载分布需与交互状态独立保持</x:v>
      </x:c>
      <x:c r="I168" s="6" t="str">
        <x:v>无</x:v>
      </x:c>
      <x:c r="J168" s="6" t="str">
        <x:v>无</x:v>
      </x:c>
      <x:c r="K168" s="6" t="str">
        <x:v>相对原结构锚点新增/修改荷载分布：上层梁仅x=2～8m向下9kN/m，下层梁全跨10kN/m；其他连接按原非规则表</x:v>
      </x:c>
      <x:c r="L168" s="6" t="str">
        <x:v>机构与连通性需独立验证</x:v>
      </x:c>
      <x:c r="M168" s="6" t="str">
        <x:v>逐字段材料/截面数值及单位；完整支承自由度、荷载坐标与结果观测点</x:v>
      </x:c>
      <x:c r="N168" s="6" t="str">
        <x:v>独立规划骨架；可执行模型/数值真值待生成</x:v>
      </x:c>
      <x:c r="O168" s="30" t="n">
        <x:f>COUNTIFS('300题规划'!$C$2:$C$301,A168)</x:f>
        <x:v>1</x:v>
      </x:c>
      <x:c r="P168" s="5" t="str">
        <x:f>INDEX('300题规划'!$Y$2:$Y$301,MATCH(B168,'300题规划'!$A$2:$A$301,0))</x:f>
        <x:v>OpenSees</x:v>
      </x:c>
      <x:c r="Q168" s="5" t="str">
        <x:f>INDEX('300题规划'!$AB$2:$AB$301,MATCH(B168,'300题规划'!$A$2:$A$301,0))</x:f>
        <x:v>待逐题验证</x:v>
      </x:c>
    </x:row>
    <x:row r="169" ht="52.5" customHeight="1">
      <x:c r="A169" s="27" t="str">
        <x:v>M-INT-068</x:v>
      </x:c>
      <x:c r="B169" s="11" t="str">
        <x:v>INT-068</x:v>
      </x:c>
      <x:c r="C169" s="11" t="str">
        <x:v>地下标高框架首层中点水平力</x:v>
      </x:c>
      <x:c r="D169" s="11" t="str">
        <x:v>平面钢框架</x:v>
      </x:c>
      <x:c r="E169" s="11" t="str">
        <x:v>2D</x:v>
      </x:c>
      <x:c r="F169" s="11" t="str">
        <x:v>L2</x:v>
      </x:c>
      <x:c r="G169" s="11" t="str">
        <x:v>柱底z=-1.5m，楼层z=2.1、5.7m，跨度6m，竖载10kN/m；首层左柱在z=0.3m处另设节点并加X正向6kN，节点恰为该层柱中点；所有柱脚面内三自由度固定。</x:v>
      </x:c>
      <x:c r="H169" s="11" t="str">
        <x:v>绝对负坐标不是负层高；荷载位置需与交互状态独立保持</x:v>
      </x:c>
      <x:c r="I169" s="11" t="str">
        <x:v>无</x:v>
      </x:c>
      <x:c r="J169" s="11" t="str">
        <x:v>无</x:v>
      </x:c>
      <x:c r="K169" s="11" t="str">
        <x:v>相对原结构锚点新增/修改荷载位置：首层左柱在z=0.3m处另设节点并加X正向6kN，节点恰为该层柱中点</x:v>
      </x:c>
      <x:c r="L169" s="11" t="str">
        <x:v>基础工具</x:v>
      </x:c>
      <x:c r="M169" s="11" t="str">
        <x:v>逐字段材料/截面数值及单位；完整支承自由度、荷载坐标与结果观测点</x:v>
      </x:c>
      <x:c r="N169" s="11" t="str">
        <x:v>独立规划骨架；可执行模型/数值真值待生成</x:v>
      </x:c>
      <x:c r="O169" s="30" t="n">
        <x:f>COUNTIFS('300题规划'!$C$2:$C$301,A169)</x:f>
        <x:v>1</x:v>
      </x:c>
      <x:c r="P169" s="5" t="str">
        <x:f>INDEX('300题规划'!$Y$2:$Y$301,MATCH(B169,'300题规划'!$A$2:$A$301,0))</x:f>
        <x:v>OpenSees</x:v>
      </x:c>
      <x:c r="Q169" s="5" t="str">
        <x:f>INDEX('300题规划'!$AB$2:$AB$301,MATCH(B169,'300题规划'!$A$2:$A$301,0))</x:f>
        <x:v>待逐题验证</x:v>
      </x:c>
    </x:row>
    <x:row r="170" ht="54" customHeight="1">
      <x:c r="A170" s="28" t="str">
        <x:v>M-INT-069</x:v>
      </x:c>
      <x:c r="B170" s="6" t="str">
        <x:v>INT-069</x:v>
      </x:c>
      <x:c r="C170" s="6" t="str">
        <x:v>两层梁不同截面的C30框架</x:v>
      </x:c>
      <x:c r="D170" s="6" t="str">
        <x:v>平面混凝土框架</x:v>
      </x:c>
      <x:c r="E170" s="6" t="str">
        <x:v>2D</x:v>
      </x:c>
      <x:c r="F170" s="6" t="str">
        <x:v>L2</x:v>
      </x:c>
      <x:c r="G170" s="6" t="str">
        <x:v>两层各3.6m、单跨6m，柱500×500、一层梁300×600、屋面梁300×500mm，梁线载72kN/m；一层梁300×600mm、屋面梁300×500mm；各自A/I/J完整记录，柱仍500×500mm；所有柱脚面内三自由度固定。</x:v>
      </x:c>
      <x:c r="H170" s="6" t="str">
        <x:v>给定材料截面记录与梁柱角色；截面分组需与交互状态独立保持</x:v>
      </x:c>
      <x:c r="I170" s="6" t="str">
        <x:v>concrete-frame-2story-static</x:v>
      </x:c>
      <x:c r="J170" s="6" t="str">
        <x:v>concrete-frame-2s1b-6m-12k</x:v>
      </x:c>
      <x:c r="K170" s="6" t="str">
        <x:v>相对原结构锚点新增/修改截面分组：一层梁300×600mm、屋面梁300×500mm；各自A/I/J完整记录，柱仍500×500mm</x:v>
      </x:c>
      <x:c r="L170" s="6" t="str">
        <x:v>基础工具</x:v>
      </x:c>
      <x:c r="M170" s="6" t="str">
        <x:v>逐字段材料/截面数值及单位；完整支承自由度、荷载坐标与结果观测点</x:v>
      </x:c>
      <x:c r="N170" s="6" t="str">
        <x:v>独立规划骨架；可执行模型/数值真值待生成</x:v>
      </x:c>
      <x:c r="O170" s="30" t="n">
        <x:f>COUNTIFS('300题规划'!$C$2:$C$301,A170)</x:f>
        <x:v>1</x:v>
      </x:c>
      <x:c r="P170" s="5" t="str">
        <x:f>INDEX('300题规划'!$Y$2:$Y$301,MATCH(B170,'300题规划'!$A$2:$A$301,0))</x:f>
        <x:v>OpenSees</x:v>
      </x:c>
      <x:c r="Q170" s="5" t="str">
        <x:f>INDEX('300题规划'!$AB$2:$AB$301,MATCH(B170,'300题规划'!$A$2:$A$301,0))</x:f>
        <x:v>待逐题验证</x:v>
      </x:c>
    </x:row>
    <x:row r="171" ht="52.5" customHeight="1">
      <x:c r="A171" s="27" t="str">
        <x:v>M-INT-070</x:v>
      </x:c>
      <x:c r="B171" s="11" t="str">
        <x:v>INT-070</x:v>
      </x:c>
      <x:c r="C171" s="11" t="str">
        <x:v>中间层梁附加节点竖载的C35框架</x:v>
      </x:c>
      <x:c r="D171" s="11" t="str">
        <x:v>平面混凝土框架</x:v>
      </x:c>
      <x:c r="E171" s="11" t="str">
        <x:v>2D</x:v>
      </x:c>
      <x:c r="F171" s="11" t="str">
        <x:v>L2</x:v>
      </x:c>
      <x:c r="G171" s="11" t="str">
        <x:v>三层各3.3m、单跨6m，柱500×500、梁300×600mm，梁线载60kN/m；第二层梁跨中x=3m,z=6.6m另向下30kN，三层60kN/m线载照旧；所有柱脚面内三自由度固定。</x:v>
      </x:c>
      <x:c r="H171" s="11" t="str">
        <x:v>层数与面载折算只施加一次；荷载位置需与交互状态独立保持</x:v>
      </x:c>
      <x:c r="I171" s="11" t="str">
        <x:v>concrete-frame-3story-opensees-static-en</x:v>
      </x:c>
      <x:c r="J171" s="11" t="str">
        <x:v>concrete-frame-3s1b-6m-10k</x:v>
      </x:c>
      <x:c r="K171" s="11" t="str">
        <x:v>相对原结构锚点新增/修改荷载位置：第二层梁跨中x=3m,z=6.6m另向下30kN，三层60kN/m线载照旧</x:v>
      </x:c>
      <x:c r="L171" s="11" t="str">
        <x:v>基础工具</x:v>
      </x:c>
      <x:c r="M171" s="11" t="str">
        <x:v>逐字段材料/截面数值及单位；完整支承自由度、荷载坐标与结果观测点</x:v>
      </x:c>
      <x:c r="N171" s="11" t="str">
        <x:v>独立规划骨架；可执行模型/数值真值待生成</x:v>
      </x:c>
      <x:c r="O171" s="30" t="n">
        <x:f>COUNTIFS('300题规划'!$C$2:$C$301,A171)</x:f>
        <x:v>1</x:v>
      </x:c>
      <x:c r="P171" s="5" t="str">
        <x:f>INDEX('300题规划'!$Y$2:$Y$301,MATCH(B171,'300题规划'!$A$2:$A$301,0))</x:f>
        <x:v>OpenSees</x:v>
      </x:c>
      <x:c r="Q171" s="5" t="str">
        <x:f>INDEX('300题规划'!$AB$2:$AB$301,MATCH(B171,'300题规划'!$A$2:$A$301,0))</x:f>
        <x:v>待逐题验证</x:v>
      </x:c>
    </x:row>
    <x:row r="172" ht="52.5" customHeight="1">
      <x:c r="A172" s="28" t="str">
        <x:v>M-INT-071</x:v>
      </x:c>
      <x:c r="B172" s="6" t="str">
        <x:v>INT-071</x:v>
      </x:c>
      <x:c r="C172" s="6" t="str">
        <x:v>仅边柱加粗的材料更新框架</x:v>
      </x:c>
      <x:c r="D172" s="6" t="str">
        <x:v>平面混凝土框架</x:v>
      </x:c>
      <x:c r="E172" s="6" t="str">
        <x:v>2D</x:v>
      </x:c>
      <x:c r="F172" s="6" t="str">
        <x:v>L2</x:v>
      </x:c>
      <x:c r="G172" s="6" t="str">
        <x:v>两层各3.6m、两跨6m，C30、外柱600×500、中柱500×500、梁300×600mm，各梁10kN/m；两侧外柱600×500mm，中柱500×500mm，均按明确强轴方向；梁300×600mm；所有柱脚面内三自由度固定。</x:v>
      </x:c>
      <x:c r="H172" s="6" t="str">
        <x:v>保留材料等级与实际E值关联；截面分组需与交互状态独立保持</x:v>
      </x:c>
      <x:c r="I172" s="6" t="str">
        <x:v>robust-update-concrete-material</x:v>
      </x:c>
      <x:c r="J172" s="6" t="str">
        <x:v>concrete-frame-2s2b-6m-10k-c30；concrete-frame-2s2b-6m-10k-c40</x:v>
      </x:c>
      <x:c r="K172" s="6" t="str">
        <x:v>相对原结构锚点新增/修改截面分组：两侧外柱600×500mm，中柱500×500mm，均按明确强轴方向；梁300×600mm</x:v>
      </x:c>
      <x:c r="L172" s="6" t="str">
        <x:v>基础工具；矩形柱局部轴需验证</x:v>
      </x:c>
      <x:c r="M172" s="6" t="str">
        <x:v>逐字段材料/截面数值及单位；完整支承自由度、荷载坐标与结果观测点</x:v>
      </x:c>
      <x:c r="N172" s="6" t="str">
        <x:v>独立规划骨架；可执行模型/数值真值待生成</x:v>
      </x:c>
      <x:c r="O172" s="30" t="n">
        <x:f>COUNTIFS('300题规划'!$C$2:$C$301,A172)</x:f>
        <x:v>1</x:v>
      </x:c>
      <x:c r="P172" s="5" t="str">
        <x:f>INDEX('300题规划'!$Y$2:$Y$301,MATCH(B172,'300题规划'!$A$2:$A$301,0))</x:f>
        <x:v>OpenSees</x:v>
      </x:c>
      <x:c r="Q172" s="5" t="str">
        <x:f>INDEX('300题规划'!$AB$2:$AB$301,MATCH(B172,'300题规划'!$A$2:$A$301,0))</x:f>
        <x:v>待逐题验证</x:v>
      </x:c>
    </x:row>
    <x:row r="173" ht="52.5" customHeight="1">
      <x:c r="A173" s="27" t="str">
        <x:v>M-INT-072</x:v>
      </x:c>
      <x:c r="B173" s="11" t="str">
        <x:v>INT-072</x:v>
      </x:c>
      <x:c r="C173" s="11" t="str">
        <x:v>不等高框架右跨局部活载</x:v>
      </x:c>
      <x:c r="D173" s="11" t="str">
        <x:v>平面混凝土框架</x:v>
      </x:c>
      <x:c r="E173" s="11" t="str">
        <x:v>2D</x:v>
      </x:c>
      <x:c r="F173" s="11" t="str">
        <x:v>L2</x:v>
      </x:c>
      <x:c r="G173" s="11" t="str">
        <x:v>三层3.3、4.0、3.1m，两跨5、7m，所有柱脚固定；左梁D=8kN/m，右梁D=8且另有L=6kN/m；各层同规则，组合D+L；所有柱脚面内三自由度固定。</x:v>
      </x:c>
      <x:c r="H173" s="11" t="str">
        <x:v>楼层标高和各跨连接；荷载工况需与交互状态独立保持</x:v>
      </x:c>
      <x:c r="I173" s="11" t="str">
        <x:v>无</x:v>
      </x:c>
      <x:c r="J173" s="11" t="str">
        <x:v>无</x:v>
      </x:c>
      <x:c r="K173" s="11" t="str">
        <x:v>相对原结构锚点新增/修改荷载工况：左梁D=8kN/m，右梁D=8且另有L=6kN/m；各层同规则，组合D+L</x:v>
      </x:c>
      <x:c r="L173" s="11" t="str">
        <x:v>基础工具；多工况执行契约需验证</x:v>
      </x:c>
      <x:c r="M173" s="11" t="str">
        <x:v>逐字段材料/截面数值及单位；完整支承自由度、荷载坐标与结果观测点；完整工况/组合系数表</x:v>
      </x:c>
      <x:c r="N173" s="11" t="str">
        <x:v>独立规划骨架；可执行模型/数值真值待生成</x:v>
      </x:c>
      <x:c r="O173" s="30" t="n">
        <x:f>COUNTIFS('300题规划'!$C$2:$C$301,A173)</x:f>
        <x:v>1</x:v>
      </x:c>
      <x:c r="P173" s="5" t="str">
        <x:f>INDEX('300题规划'!$Y$2:$Y$301,MATCH(B173,'300题规划'!$A$2:$A$301,0))</x:f>
        <x:v>OpenSees</x:v>
      </x:c>
      <x:c r="Q173" s="5" t="str">
        <x:f>INDEX('300题规划'!$AB$2:$AB$301,MATCH(B173,'300题规划'!$A$2:$A$301,0))</x:f>
        <x:v>待逐题验证</x:v>
      </x:c>
    </x:row>
    <x:row r="174" ht="54" customHeight="1">
      <x:c r="A174" s="28" t="str">
        <x:v>M-INT-073</x:v>
      </x:c>
      <x:c r="B174" s="6" t="str">
        <x:v>INT-073</x:v>
      </x:c>
      <x:c r="C174" s="6" t="str">
        <x:v>梁柱异材料且屋面偏载框架</x:v>
      </x:c>
      <x:c r="D174" s="6" t="str">
        <x:v>平面混凝土框架</x:v>
      </x:c>
      <x:c r="E174" s="6" t="str">
        <x:v>2D</x:v>
      </x:c>
      <x:c r="F174" s="6" t="str">
        <x:v>L2</x:v>
      </x:c>
      <x:c r="G174" s="6" t="str">
        <x:v>两层两跨6m，柱C40梁C30，给定各自完整弹性属性，不做非线性；一层两跨梁均10kN/m；二层只左梁14kN/m，右梁零线载；柱C40梁C30；所有柱脚面内三自由度固定；柱线x=0/6/12m，楼层z=0/3.6/7.2m，完整两层两跨。</x:v>
      </x:c>
      <x:c r="H174" s="6" t="str">
        <x:v>按构件角色分配材料而非全局覆盖；荷载分布需与交互状态独立保持</x:v>
      </x:c>
      <x:c r="I174" s="6" t="str">
        <x:v>无</x:v>
      </x:c>
      <x:c r="J174" s="6" t="str">
        <x:v>无</x:v>
      </x:c>
      <x:c r="K174" s="6" t="str">
        <x:v>相对原结构锚点新增/修改荷载分布：一层两跨梁均10kN/m；二层只左梁14kN/m，右梁零线载；柱C40梁C30</x:v>
      </x:c>
      <x:c r="L174" s="6" t="str">
        <x:v>基础工具</x:v>
      </x:c>
      <x:c r="M174" s="6" t="str">
        <x:v>逐字段材料/截面数值及单位；完整支承自由度、荷载坐标与结果观测点</x:v>
      </x:c>
      <x:c r="N174" s="6" t="str">
        <x:v>独立规划骨架；可执行模型/数值真值待生成</x:v>
      </x:c>
      <x:c r="O174" s="30" t="n">
        <x:f>COUNTIFS('300题规划'!$C$2:$C$301,A174)</x:f>
        <x:v>1</x:v>
      </x:c>
      <x:c r="P174" s="5" t="str">
        <x:f>INDEX('300题规划'!$Y$2:$Y$301,MATCH(B174,'300题规划'!$A$2:$A$301,0))</x:f>
        <x:v>OpenSees</x:v>
      </x:c>
      <x:c r="Q174" s="5" t="str">
        <x:f>INDEX('300题规划'!$AB$2:$AB$301,MATCH(B174,'300题规划'!$A$2:$A$301,0))</x:f>
        <x:v>待逐题验证</x:v>
      </x:c>
    </x:row>
    <x:row r="175" ht="67.5" customHeight="1">
      <x:c r="A175" s="27" t="str">
        <x:v>M-INT-074</x:v>
      </x:c>
      <x:c r="B175" s="11" t="str">
        <x:v>INT-074</x:v>
      </x:c>
      <x:c r="C175" s="11" t="str">
        <x:v>矩形柱框架新增梁端力矩</x:v>
      </x:c>
      <x:c r="D175" s="11" t="str">
        <x:v>平面混凝土框架</x:v>
      </x:c>
      <x:c r="E175" s="11" t="str">
        <x:v>2D</x:v>
      </x:c>
      <x:c r="F175" s="11" t="str">
        <x:v>L3</x:v>
      </x:c>
      <x:c r="G175" s="11" t="str">
        <x:v>两层单跨7m，左右矩形柱强弱轴安排不同，完整惯性矩与局部轴显式提供；屋面右端节点另施加全局Y正向12kN·m，主水平及竖向荷载按附件；所有柱脚面内三自由度固定；柱线x=0/7m，楼层z=0/3.6/7.2m；左右柱分别500×350及350×500mm，面内弯曲轴显式给定；梁10kN/m，屋面右点X向20kN。</x:v>
      </x:c>
      <x:c r="H175" s="11" t="str">
        <x:v>矩形尺寸次序与实际弯曲刚度；荷载类型需与交互状态独立保持</x:v>
      </x:c>
      <x:c r="I175" s="11" t="str">
        <x:v>无</x:v>
      </x:c>
      <x:c r="J175" s="11" t="str">
        <x:v>无</x:v>
      </x:c>
      <x:c r="K175" s="11" t="str">
        <x:v>相对原结构锚点新增/修改荷载类型：屋面右端节点另施加全局Y正向12kN·m，主水平及竖向荷载按附件</x:v>
      </x:c>
      <x:c r="L175" s="11" t="str">
        <x:v>局部轴输入与适配需验证；节点力矩及局部轴需验证</x:v>
      </x:c>
      <x:c r="M175" s="11" t="str">
        <x:v>逐字段材料/截面数值及单位；完整支承自由度、荷载坐标与结果观测点</x:v>
      </x:c>
      <x:c r="N175" s="11" t="str">
        <x:v>独立规划骨架；可执行模型/数值真值待生成</x:v>
      </x:c>
      <x:c r="O175" s="30" t="n">
        <x:f>COUNTIFS('300题规划'!$C$2:$C$301,A175)</x:f>
        <x:v>1</x:v>
      </x:c>
      <x:c r="P175" s="5" t="str">
        <x:f>INDEX('300题规划'!$Y$2:$Y$301,MATCH(B175,'300题规划'!$A$2:$A$301,0))</x:f>
        <x:v>OpenSees</x:v>
      </x:c>
      <x:c r="Q175" s="5" t="str">
        <x:f>INDEX('300题规划'!$AB$2:$AB$301,MATCH(B175,'300题规划'!$A$2:$A$301,0))</x:f>
        <x:v>待逐题验证</x:v>
      </x:c>
    </x:row>
    <x:row r="176" ht="54" customHeight="1">
      <x:c r="A176" s="28" t="str">
        <x:v>M-INT-075</x:v>
      </x:c>
      <x:c r="B176" s="6" t="str">
        <x:v>INT-075</x:v>
      </x:c>
      <x:c r="C176" s="6" t="str">
        <x:v>退台混凝土框架底层中跨集中力</x:v>
      </x:c>
      <x:c r="D176" s="6" t="str">
        <x:v>平面混凝土框架</x:v>
      </x:c>
      <x:c r="E176" s="6" t="str">
        <x:v>2D</x:v>
      </x:c>
      <x:c r="F176" s="6" t="str">
        <x:v>L3</x:v>
      </x:c>
      <x:c r="G176" s="6" t="str">
        <x:v>下层三跨5m，上层只保留左侧两跨，逐组给梁柱截面；下层中跨梁中点x=7.5m,z=3.6m另向下24kN，上层只左侧两跨；所有柱脚面内三自由度固定；下层柱线x=0/5/10/15m，z=0～3.6m；上层仅x=0/5/10m，z=3.6～7.2m；实际各梁向下10kN/m。</x:v>
      </x:c>
      <x:c r="H176" s="6" t="str">
        <x:v>退台拓扑、材料和截面联合映射；荷载位置需与交互状态独立保持</x:v>
      </x:c>
      <x:c r="I176" s="6" t="str">
        <x:v>无</x:v>
      </x:c>
      <x:c r="J176" s="6" t="str">
        <x:v>无</x:v>
      </x:c>
      <x:c r="K176" s="6" t="str">
        <x:v>相对原结构锚点新增/修改荷载位置：下层中跨梁中点x=7.5m,z=3.6m另向下24kN，上层只左侧两跨</x:v>
      </x:c>
      <x:c r="L176" s="6" t="str">
        <x:v>基础工具</x:v>
      </x:c>
      <x:c r="M176" s="6" t="str">
        <x:v>逐字段材料/截面数值及单位；完整支承自由度、荷载坐标与结果观测点</x:v>
      </x:c>
      <x:c r="N176" s="6" t="str">
        <x:v>独立规划骨架；可执行模型/数值真值待生成</x:v>
      </x:c>
      <x:c r="O176" s="30" t="n">
        <x:f>COUNTIFS('300题规划'!$C$2:$C$301,A176)</x:f>
        <x:v>1</x:v>
      </x:c>
      <x:c r="P176" s="5" t="str">
        <x:f>INDEX('300题规划'!$Y$2:$Y$301,MATCH(B176,'300题规划'!$A$2:$A$301,0))</x:f>
        <x:v>OpenSees</x:v>
      </x:c>
      <x:c r="Q176" s="5" t="str">
        <x:f>INDEX('300题规划'!$AB$2:$AB$301,MATCH(B176,'300题规划'!$A$2:$A$301,0))</x:f>
        <x:v>待逐题验证</x:v>
      </x:c>
    </x:row>
    <x:row r="177" ht="54" customHeight="1">
      <x:c r="A177" s="27" t="str">
        <x:v>M-INT-076</x:v>
      </x:c>
      <x:c r="B177" s="11" t="str">
        <x:v>INT-076</x:v>
      </x:c>
      <x:c r="C177" s="11" t="str">
        <x:v>左右受荷宽不同且外柱变截面的框架</x:v>
      </x:c>
      <x:c r="D177" s="11" t="str">
        <x:v>平面混凝土框架</x:v>
      </x:c>
      <x:c r="E177" s="11" t="str">
        <x:v>2D</x:v>
      </x:c>
      <x:c r="F177" s="11" t="str">
        <x:v>L2</x:v>
      </x:c>
      <x:c r="G177" s="11" t="str">
        <x:v>两层，跨度5、7m，左右梁受荷宽度4、6m，楼面10kN/m²；两侧外柱0～3.6m采用C1，3.6～7.2m采用面积相同、Iy/Iz=0.7倍的C2，中柱C1；所有柱脚面内三自由度固定；两层各3.6m、柱线x=0/5/12m；柱全截面附录给出，两层楼面面载均10kN/m²。</x:v>
      </x:c>
      <x:c r="H177" s="11" t="str">
        <x:v>每跨独立折算且不可重复加面载；截面分组需与交互状态独立保持</x:v>
      </x:c>
      <x:c r="I177" s="11" t="str">
        <x:v>无</x:v>
      </x:c>
      <x:c r="J177" s="11" t="str">
        <x:v>无</x:v>
      </x:c>
      <x:c r="K177" s="11" t="str">
        <x:v>相对原结构锚点新增/修改截面分组：两侧外柱0～3.6m采用C1，3.6～7.2m采用面积相同、Iy/Iz=0.7倍的C2，中柱C1</x:v>
      </x:c>
      <x:c r="L177" s="11" t="str">
        <x:v>基础工具</x:v>
      </x:c>
      <x:c r="M177" s="11" t="str">
        <x:v>逐字段材料/截面数值及单位；完整支承自由度、荷载坐标与结果观测点；受荷宽度/分配规则逐梁列明</x:v>
      </x:c>
      <x:c r="N177" s="11" t="str">
        <x:v>独立规划骨架；可执行模型/数值真值待生成</x:v>
      </x:c>
      <x:c r="O177" s="30" t="n">
        <x:f>COUNTIFS('300题规划'!$C$2:$C$301,A177)</x:f>
        <x:v>1</x:v>
      </x:c>
      <x:c r="P177" s="5" t="str">
        <x:f>INDEX('300题规划'!$Y$2:$Y$301,MATCH(B177,'300题规划'!$A$2:$A$301,0))</x:f>
        <x:v>OpenSees</x:v>
      </x:c>
      <x:c r="Q177" s="5" t="str">
        <x:f>INDEX('300题规划'!$AB$2:$AB$301,MATCH(B177,'300题规划'!$A$2:$A$301,0))</x:f>
        <x:v>待逐题验证</x:v>
      </x:c>
    </x:row>
    <x:row r="178" ht="54" customHeight="1">
      <x:c r="A178" s="28" t="str">
        <x:v>M-INT-077</x:v>
      </x:c>
      <x:c r="B178" s="6" t="str">
        <x:v>INT-077</x:v>
      </x:c>
      <x:c r="C178" s="6" t="str">
        <x:v>变截面框架顶层左跨偏载</x:v>
      </x:c>
      <x:c r="D178" s="6" t="str">
        <x:v>平面混凝土框架</x:v>
      </x:c>
      <x:c r="E178" s="6" t="str">
        <x:v>2D</x:v>
      </x:c>
      <x:c r="F178" s="6" t="str">
        <x:v>L3</x:v>
      </x:c>
      <x:c r="G178" s="6" t="str">
        <x:v>三层两跨6m，下层柱600×600、上层500×500mm，顶层梁截面另列；顶层左跨除基准线载外，x=3m处另向下15kN，其余顶层梁无此点力；所有柱脚面内三自由度固定；三层各3.6m，柱线x=0/6/12m；各实际梁向下10kN/m。</x:v>
      </x:c>
      <x:c r="H178" s="6" t="str">
        <x:v>楼层与构件组属性同步映射；荷载位置需与交互状态独立保持</x:v>
      </x:c>
      <x:c r="I178" s="6" t="str">
        <x:v>无</x:v>
      </x:c>
      <x:c r="J178" s="6" t="str">
        <x:v>无</x:v>
      </x:c>
      <x:c r="K178" s="6" t="str">
        <x:v>相对原结构锚点新增/修改荷载位置：顶层左跨除基准线载外，x=3m处另向下15kN，其余顶层梁无此点力</x:v>
      </x:c>
      <x:c r="L178" s="6" t="str">
        <x:v>基础工具</x:v>
      </x:c>
      <x:c r="M178" s="6" t="str">
        <x:v>逐字段材料/截面数值及单位；完整支承自由度、荷载坐标与结果观测点</x:v>
      </x:c>
      <x:c r="N178" s="6" t="str">
        <x:v>独立规划骨架；可执行模型/数值真值待生成</x:v>
      </x:c>
      <x:c r="O178" s="30" t="n">
        <x:f>COUNTIFS('300题规划'!$C$2:$C$301,A178)</x:f>
        <x:v>1</x:v>
      </x:c>
      <x:c r="P178" s="5" t="str">
        <x:f>INDEX('300题规划'!$Y$2:$Y$301,MATCH(B178,'300题规划'!$A$2:$A$301,0))</x:f>
        <x:v>OpenSees</x:v>
      </x:c>
      <x:c r="Q178" s="5" t="str">
        <x:f>INDEX('300题规划'!$AB$2:$AB$301,MATCH(B178,'300题规划'!$A$2:$A$301,0))</x:f>
        <x:v>待逐题验证</x:v>
      </x:c>
    </x:row>
    <x:row r="179" ht="54" customHeight="1">
      <x:c r="A179" s="27" t="str">
        <x:v>M-INT-078</x:v>
      </x:c>
      <x:c r="B179" s="11" t="str">
        <x:v>INT-078</x:v>
      </x:c>
      <x:c r="C179" s="11" t="str">
        <x:v>正反侧力框架中层梁局部附加恒载</x:v>
      </x:c>
      <x:c r="D179" s="11" t="str">
        <x:v>平面混凝土框架</x:v>
      </x:c>
      <x:c r="E179" s="11" t="str">
        <x:v>2D</x:v>
      </x:c>
      <x:c r="F179" s="11" t="str">
        <x:v>L3</x:v>
      </x:c>
      <x:c r="G179" s="11" t="str">
        <x:v>三层单跨6m，D各层不同，W+与W-独立，题定三组组合；D在第二层梁左半跨x=0～3m另向下5kN/m，原分层D仍保留；所有柱脚面内三自由度固定；三层各3.6m，柱线x=0/6m；D梁载自下向上12/10/8kN/m；右节点W+的X力10/15/20kN、W-反号；组合D、D+W+、D+W-。</x:v>
      </x:c>
      <x:c r="H179" s="11" t="str">
        <x:v>正反向工况不能被绝对值化；荷载分布需与交互状态独立保持</x:v>
      </x:c>
      <x:c r="I179" s="11" t="str">
        <x:v>无</x:v>
      </x:c>
      <x:c r="J179" s="11" t="str">
        <x:v>无</x:v>
      </x:c>
      <x:c r="K179" s="11" t="str">
        <x:v>相对原结构锚点新增/修改荷载分布：D在第二层梁左半跨x=0～3m另向下5kN/m，原分层D仍保留</x:v>
      </x:c>
      <x:c r="L179" s="11" t="str">
        <x:v>多组合执行契约需验证</x:v>
      </x:c>
      <x:c r="M179" s="11" t="str">
        <x:v>逐字段材料/截面数值及单位；完整支承自由度、荷载坐标与结果观测点；完整工况/组合系数表</x:v>
      </x:c>
      <x:c r="N179" s="11" t="str">
        <x:v>独立规划骨架；可执行模型/数值真值待生成</x:v>
      </x:c>
      <x:c r="O179" s="30" t="n">
        <x:f>COUNTIFS('300题规划'!$C$2:$C$301,A179)</x:f>
        <x:v>1</x:v>
      </x:c>
      <x:c r="P179" s="5" t="str">
        <x:f>INDEX('300题规划'!$Y$2:$Y$301,MATCH(B179,'300题规划'!$A$2:$A$301,0))</x:f>
        <x:v>OpenSees</x:v>
      </x:c>
      <x:c r="Q179" s="5" t="str">
        <x:f>INDEX('300题规划'!$AB$2:$AB$301,MATCH(B179,'300题规划'!$A$2:$A$301,0))</x:f>
        <x:v>待逐题验证</x:v>
      </x:c>
    </x:row>
    <x:row r="180" ht="67.5" customHeight="1">
      <x:c r="A180" s="28" t="str">
        <x:v>M-INT-079</x:v>
      </x:c>
      <x:c r="B180" s="6" t="str">
        <x:v>INT-079</x:v>
      </x:c>
      <x:c r="C180" s="6" t="str">
        <x:v>一个角柱铰脚的双向空间框架</x:v>
      </x:c>
      <x:c r="D180" s="6" t="str">
        <x:v>空间框架</x:v>
      </x:c>
      <x:c r="E180" s="6" t="str">
        <x:v>3D</x:v>
      </x:c>
      <x:c r="F180" s="6" t="str">
        <x:v>L2</x:v>
      </x:c>
      <x:c r="G180" s="6" t="str">
        <x:v>X向6m一跨、Y向5m一跨、两层各3.6m，每层10kN/m²；仅柱底(0,0,0)的转动自由度释放、三个平移约束，其他柱脚六自由度固定；(0,0,0)柱脚三平移固定/三转动自由；其余柱脚六自由度固定；楼面面载单向传给X梁，受荷宽度为相邻Y半跨之和；Y梁不重复承接面载；不设默认刚性楼板；关闭自重。</x:v>
      </x:c>
      <x:c r="H180" s="6" t="str">
        <x:v>两个水平轴与真实空间连接；边界需与交互状态独立保持</x:v>
      </x:c>
      <x:c r="I180" s="6" t="str">
        <x:v>std-frame3d-simple-gt</x:v>
      </x:c>
      <x:c r="J180" s="6" t="str">
        <x:v>frame3d-simple</x:v>
      </x:c>
      <x:c r="K180" s="6" t="str">
        <x:v>相对原结构锚点新增/修改边界：仅柱底(0,0,0)的转动自由度释放、三个平移约束，其他柱脚六自由度固定</x:v>
      </x:c>
      <x:c r="L180" s="6" t="str">
        <x:v>基础工具；空间铰脚约束输入需验证</x:v>
      </x:c>
      <x:c r="M180" s="6" t="str">
        <x:v>逐字段材料/截面数值及单位；完整支承自由度、荷载坐标与结果观测点；局部轴和三向荷载约定；受荷宽度/分配规则逐梁列明</x:v>
      </x:c>
      <x:c r="N180" s="6" t="str">
        <x:v>独立规划骨架；可执行模型/数值真值待生成</x:v>
      </x:c>
      <x:c r="O180" s="30" t="n">
        <x:f>COUNTIFS('300题规划'!$C$2:$C$301,A180)</x:f>
        <x:v>1</x:v>
      </x:c>
      <x:c r="P180" s="5" t="str">
        <x:f>INDEX('300题规划'!$Y$2:$Y$301,MATCH(B180,'300题规划'!$A$2:$A$301,0))</x:f>
        <x:v>PKPM</x:v>
      </x:c>
      <x:c r="Q180" s="5" t="str">
        <x:f>INDEX('300题规划'!$AB$2:$AB$301,MATCH(B180,'300题规划'!$A$2:$A$301,0))</x:f>
        <x:v>存在已知接口缺口</x:v>
      </x:c>
    </x:row>
    <x:row r="181" ht="54" customHeight="1">
      <x:c r="A181" s="27" t="str">
        <x:v>M-INT-080</x:v>
      </x:c>
      <x:c r="B181" s="11" t="str">
        <x:v>INT-080</x:v>
      </x:c>
      <x:c r="C181" s="11" t="str">
        <x:v>X梁与Y梁不同截面的空间框架</x:v>
      </x:c>
      <x:c r="D181" s="11" t="str">
        <x:v>空间框架</x:v>
      </x:c>
      <x:c r="E181" s="11" t="str">
        <x:v>3D</x:v>
      </x:c>
      <x:c r="F181" s="11" t="str">
        <x:v>L2</x:v>
      </x:c>
      <x:c r="G181" s="11" t="str">
        <x:v>X向6+6m、Y向5m，两层3.6m，楼面8kN/m²；X梁用BX、Y梁用BY；BY的两弯曲惯性矩为BX的0.6倍、面积相同；面载只传X梁；所有柱脚六自由度固定；楼面面载单向传给X梁，受荷宽度为相邻Y半跨之和；Y梁不重复承接面载；不设默认刚性楼板；关闭自重。</x:v>
      </x:c>
      <x:c r="H181" s="11" t="str">
        <x:v>X/Y跨数不同及楼面作用；截面分组需与交互状态独立保持</x:v>
      </x:c>
      <x:c r="I181" s="11" t="str">
        <x:v>frame-3d-2story-2bayx-1bayy</x:v>
      </x:c>
      <x:c r="J181" s="11" t="str">
        <x:v>frame3d-steel-2s-2x1y-8k</x:v>
      </x:c>
      <x:c r="K181" s="11" t="str">
        <x:v>相对原结构锚点新增/修改截面分组：X梁用BX、Y梁用BY；BY的两弯曲惯性矩为BX的0.6倍、面积相同；面载只传X梁</x:v>
      </x:c>
      <x:c r="L181" s="11" t="str">
        <x:v>按本题拟定 PKPM 独立重算并核验</x:v>
      </x:c>
      <x:c r="M181" s="11" t="str">
        <x:v>逐字段材料/截面数值及单位；完整支承自由度、荷载坐标与结果观测点；局部轴和三向荷载约定；受荷宽度/分配规则逐梁列明</x:v>
      </x:c>
      <x:c r="N181" s="11" t="str">
        <x:v>独立规划骨架；可执行模型/数值真值待生成</x:v>
      </x:c>
      <x:c r="O181" s="30" t="n">
        <x:f>COUNTIFS('300题规划'!$C$2:$C$301,A181)</x:f>
        <x:v>1</x:v>
      </x:c>
      <x:c r="P181" s="5" t="str">
        <x:f>INDEX('300题规划'!$Y$2:$Y$301,MATCH(B181,'300题规划'!$A$2:$A$301,0))</x:f>
        <x:v>PKPM</x:v>
      </x:c>
      <x:c r="Q181" s="5" t="str">
        <x:f>INDEX('300题规划'!$AB$2:$AB$301,MATCH(B181,'300题规划'!$A$2:$A$301,0))</x:f>
        <x:v>存在已知接口缺口</x:v>
      </x:c>
    </x:row>
    <x:row r="182" ht="54" customHeight="1">
      <x:c r="A182" s="28" t="str">
        <x:v>M-INT-081</x:v>
      </x:c>
      <x:c r="B182" s="6" t="str">
        <x:v>INT-081</x:v>
      </x:c>
      <x:c r="C182" s="6" t="str">
        <x:v>屋面两根外伸短梁的空间框架</x:v>
      </x:c>
      <x:c r="D182" s="6" t="str">
        <x:v>空间框架</x:v>
      </x:c>
      <x:c r="E182" s="6" t="str">
        <x:v>3D</x:v>
      </x:c>
      <x:c r="F182" s="6" t="str">
        <x:v>L3</x:v>
      </x:c>
      <x:c r="G182" s="6" t="str">
        <x:v>X向6m、Y向5+5m，三层3.3m，每层10kN/m²；屋面y=0与10m两外侧节点各沿X正向加1.2m刚接短梁，自由端各向下5kN；所有柱脚六自由度固定；楼面面载单向传给X梁，受荷宽度为相邻Y半跨之和；Y梁不重复承接面载；不设默认刚性楼板；关闭自重。</x:v>
      </x:c>
      <x:c r="H182" s="6" t="str">
        <x:v>空间方向、楼层和构件映射；拓扑需与交互状态独立保持</x:v>
      </x:c>
      <x:c r="I182" s="6" t="str">
        <x:v>frame-3d-3story-1bayx-2bayy-en</x:v>
      </x:c>
      <x:c r="J182" s="6" t="str">
        <x:v>frame3d-steel-3s-1x2y-10k</x:v>
      </x:c>
      <x:c r="K182" s="6" t="str">
        <x:v>相对原结构锚点新增/修改拓扑：屋面y=0与10m两外侧节点各沿X正向加1.2m刚接短梁，自由端各向下5kN</x:v>
      </x:c>
      <x:c r="L182" s="6" t="str">
        <x:v>按本题拟定 YJK 独立重算并核验；空间外挑梁连接需验证</x:v>
      </x:c>
      <x:c r="M182" s="6" t="str">
        <x:v>逐字段材料/截面数值及单位；完整支承自由度、荷载坐标与结果观测点；局部轴和三向荷载约定；受荷宽度/分配规则逐梁列明</x:v>
      </x:c>
      <x:c r="N182" s="6" t="str">
        <x:v>独立规划骨架；可执行模型/数值真值待生成</x:v>
      </x:c>
      <x:c r="O182" s="30" t="n">
        <x:f>COUNTIFS('300题规划'!$C$2:$C$301,A182)</x:f>
        <x:v>1</x:v>
      </x:c>
      <x:c r="P182" s="5" t="str">
        <x:f>INDEX('300题规划'!$Y$2:$Y$301,MATCH(B182,'300题规划'!$A$2:$A$301,0))</x:f>
        <x:v>YJK</x:v>
      </x:c>
      <x:c r="Q182" s="5" t="str">
        <x:f>INDEX('300题规划'!$AB$2:$AB$301,MATCH(B182,'300题规划'!$A$2:$A$301,0))</x:f>
        <x:v>存在已知接口缺口</x:v>
      </x:c>
    </x:row>
    <x:row r="183" ht="54" customHeight="1">
      <x:c r="A183" s="27" t="str">
        <x:v>M-INT-082</x:v>
      </x:c>
      <x:c r="B183" s="11" t="str">
        <x:v>INT-082</x:v>
      </x:c>
      <x:c r="C183" s="11" t="str">
        <x:v>两条首层边柱不同材料的空间框架</x:v>
      </x:c>
      <x:c r="D183" s="11" t="str">
        <x:v>空间框架</x:v>
      </x:c>
      <x:c r="E183" s="11" t="str">
        <x:v>3D</x:v>
      </x:c>
      <x:c r="F183" s="11" t="str">
        <x:v>L3</x:v>
      </x:c>
      <x:c r="G183" s="11" t="str">
        <x:v>X向6+6m、Y向5+5m，两层3.6m，一层10二层8kN/m²；首层y=0面两角柱E=210000MPa，其余梁柱E=200000MPa，所有属性显式给定；所有柱脚六自由度固定；楼面面载单向传给X梁，受荷宽度为相邻Y半跨之和；Y梁不重复承接面载；不设默认刚性楼板；关闭自重。</x:v>
      </x:c>
      <x:c r="H183" s="11" t="str">
        <x:v>不同楼层荷载及空间拓扑；材料分组需与交互状态独立保持</x:v>
      </x:c>
      <x:c r="I183" s="11" t="str">
        <x:v>std-frame3d-complex-gt</x:v>
      </x:c>
      <x:c r="J183" s="11" t="str">
        <x:v>frame3d-complex</x:v>
      </x:c>
      <x:c r="K183" s="11" t="str">
        <x:v>相对原结构锚点新增/修改材料分组：首层y=0面两角柱E=210000MPa，其余梁柱E=200000MPa，所有属性显式给定</x:v>
      </x:c>
      <x:c r="L183" s="11" t="str">
        <x:v>按本题拟定 PKPM 独立重算并核验</x:v>
      </x:c>
      <x:c r="M183" s="11" t="str">
        <x:v>逐字段材料/截面数值及单位；完整支承自由度、荷载坐标与结果观测点；局部轴和三向荷载约定；受荷宽度/分配规则逐梁列明</x:v>
      </x:c>
      <x:c r="N183" s="11" t="str">
        <x:v>独立规划骨架；可执行模型/数值真值待生成</x:v>
      </x:c>
      <x:c r="O183" s="30" t="n">
        <x:f>COUNTIFS('300题规划'!$C$2:$C$301,A183)</x:f>
        <x:v>1</x:v>
      </x:c>
      <x:c r="P183" s="5" t="str">
        <x:f>INDEX('300题规划'!$Y$2:$Y$301,MATCH(B183,'300题规划'!$A$2:$A$301,0))</x:f>
        <x:v>PKPM</x:v>
      </x:c>
      <x:c r="Q183" s="5" t="str">
        <x:f>INDEX('300题规划'!$AB$2:$AB$301,MATCH(B183,'300题规划'!$A$2:$A$301,0))</x:f>
        <x:v>存在已知接口缺口</x:v>
      </x:c>
    </x:row>
    <x:row r="184" ht="54" customHeight="1">
      <x:c r="A184" s="28" t="str">
        <x:v>M-INT-083</x:v>
      </x:c>
      <x:c r="B184" s="6" t="str">
        <x:v>INT-083</x:v>
      </x:c>
      <x:c r="C184" s="6" t="str">
        <x:v>角柱矩形截面的空间混凝土框架</x:v>
      </x:c>
      <x:c r="D184" s="6" t="str">
        <x:v>空间框架</x:v>
      </x:c>
      <x:c r="E184" s="6" t="str">
        <x:v>3D</x:v>
      </x:c>
      <x:c r="F184" s="6" t="str">
        <x:v>L2</x:v>
      </x:c>
      <x:c r="G184" s="6" t="str">
        <x:v>X向6+6m、Y向5m，两层3.6m，C30，各层12kN/m²；仅x=0,y=0角柱各层用400×700mm矩形截面、强轴定义显式；其他柱500×500mm；所有柱脚六自由度固定；楼面面载单向传给X梁，受荷宽度为相邻Y半跨之和；Y梁不重复承接面载；不设默认刚性楼板；关闭自重。</x:v>
      </x:c>
      <x:c r="H184" s="6" t="str">
        <x:v>梁柱属性与空间楼面荷载；截面分组需与交互状态独立保持</x:v>
      </x:c>
      <x:c r="I184" s="6" t="str">
        <x:v>concrete-frame-3d-2story-static</x:v>
      </x:c>
      <x:c r="J184" s="6" t="str">
        <x:v>frame3d-concrete-2s-2x1y-12k</x:v>
      </x:c>
      <x:c r="K184" s="6" t="str">
        <x:v>相对原结构锚点新增/修改截面分组：仅x=0,y=0角柱各层用400×700mm矩形截面、强轴定义显式；其他柱500×500mm</x:v>
      </x:c>
      <x:c r="L184" s="6" t="str">
        <x:v>按本题拟定 PKPM 独立重算并核验；空间局部轴需验证</x:v>
      </x:c>
      <x:c r="M184" s="6" t="str">
        <x:v>逐字段材料/截面数值及单位；完整支承自由度、荷载坐标与结果观测点；局部轴和三向荷载约定；受荷宽度/分配规则逐梁列明</x:v>
      </x:c>
      <x:c r="N184" s="6" t="str">
        <x:v>独立规划骨架；可执行模型/数值真值待生成</x:v>
      </x:c>
      <x:c r="O184" s="30" t="n">
        <x:f>COUNTIFS('300题规划'!$C$2:$C$301,A184)</x:f>
        <x:v>1</x:v>
      </x:c>
      <x:c r="P184" s="5" t="str">
        <x:f>INDEX('300题规划'!$Y$2:$Y$301,MATCH(B184,'300题规划'!$A$2:$A$301,0))</x:f>
        <x:v>PKPM</x:v>
      </x:c>
      <x:c r="Q184" s="5" t="str">
        <x:f>INDEX('300题规划'!$AB$2:$AB$301,MATCH(B184,'300题规划'!$A$2:$A$301,0))</x:f>
        <x:v>存在已知接口缺口</x:v>
      </x:c>
    </x:row>
    <x:row r="185" ht="54" customHeight="1">
      <x:c r="A185" s="27" t="str">
        <x:v>M-INT-084</x:v>
      </x:c>
      <x:c r="B185" s="11" t="str">
        <x:v>INT-084</x:v>
      </x:c>
      <x:c r="C185" s="11" t="str">
        <x:v>屋面外缘设备点力的空间混凝土框架</x:v>
      </x:c>
      <x:c r="D185" s="11" t="str">
        <x:v>空间框架</x:v>
      </x:c>
      <x:c r="E185" s="11" t="str">
        <x:v>3D</x:v>
      </x:c>
      <x:c r="F185" s="11" t="str">
        <x:v>L3</x:v>
      </x:c>
      <x:c r="G185" s="11" t="str">
        <x:v>X向6+6m、Y向5m，两层3.6m，一层12二层10kN/m²；屋面节点(x=6,y=5,z=7.2)m另向下30kN，作为独立设备恒载D_eq；所有柱脚六自由度固定；楼面面载单向传给X梁，受荷宽度为相邻Y半跨之和；Y梁不重复承接面载；不设默认刚性楼板；关闭自重。</x:v>
      </x:c>
      <x:c r="H185" s="11" t="str">
        <x:v>材料截面与楼层荷载联合映射；荷载工况需与交互状态独立保持</x:v>
      </x:c>
      <x:c r="I185" s="11" t="str">
        <x:v>std-frame3d-concrete-gt</x:v>
      </x:c>
      <x:c r="J185" s="11" t="str">
        <x:v>frame3d-concrete</x:v>
      </x:c>
      <x:c r="K185" s="11" t="str">
        <x:v>相对原结构锚点新增/修改荷载工况：屋面节点(x=6,y=5,z=7.2)m另向下30kN，作为独立设备恒载D_eq</x:v>
      </x:c>
      <x:c r="L185" s="11" t="str">
        <x:v>按本题拟定 YJK 独立重算并核验；多工况执行契约需验证</x:v>
      </x:c>
      <x:c r="M185" s="11" t="str">
        <x:v>逐字段材料/截面数值及单位；完整支承自由度、荷载坐标与结果观测点；局部轴和三向荷载约定；受荷宽度/分配规则逐梁列明</x:v>
      </x:c>
      <x:c r="N185" s="11" t="str">
        <x:v>独立规划骨架；可执行模型/数值真值待生成</x:v>
      </x:c>
      <x:c r="O185" s="30" t="n">
        <x:f>COUNTIFS('300题规划'!$C$2:$C$301,A185)</x:f>
        <x:v>1</x:v>
      </x:c>
      <x:c r="P185" s="5" t="str">
        <x:f>INDEX('300题规划'!$Y$2:$Y$301,MATCH(B185,'300题规划'!$A$2:$A$301,0))</x:f>
        <x:v>YJK</x:v>
      </x:c>
      <x:c r="Q185" s="5" t="str">
        <x:f>INDEX('300题规划'!$AB$2:$AB$301,MATCH(B185,'300题规划'!$A$2:$A$301,0))</x:f>
        <x:v>存在已知接口缺口</x:v>
      </x:c>
    </x:row>
    <x:row r="186" ht="67.5" customHeight="1">
      <x:c r="A186" s="28" t="str">
        <x:v>M-INT-085</x:v>
      </x:c>
      <x:c r="B186" s="6" t="str">
        <x:v>INT-085</x:v>
      </x:c>
      <x:c r="C186" s="6" t="str">
        <x:v>局部倾斜上层柱的非规则空间框架</x:v>
      </x:c>
      <x:c r="D186" s="6" t="str">
        <x:v>空间框架</x:v>
      </x:c>
      <x:c r="E186" s="6" t="str">
        <x:v>3D</x:v>
      </x:c>
      <x:c r="F186" s="6" t="str">
        <x:v>L3</x:v>
      </x:c>
      <x:c r="G186" s="6" t="str">
        <x:v>X向4+7m、Y向3+6m，两层3.4、4.1m，显式梁连接表；仅屋面x=4m中间柱线移至x=4.5m，一层仍x=4m；按对应节点连接形成上层斜柱，屋面连接随实际网格；所有柱脚六自由度固定；一层网格X=0/4/11m、Y=0/3/9m、z=3.4m；屋面X=0/4.5/11m、Y同一层、z=7.5m；底层X仍0/4/11m，底z=0，各节点按对应柱线连接；每个实际楼面梁全局Z负向6kN/m，柱不施加该线载。</x:v>
      </x:c>
      <x:c r="H186" s="6" t="str">
        <x:v>非规则网格和不等层高；拓扑需与交互状态独立保持</x:v>
      </x:c>
      <x:c r="I186" s="6" t="str">
        <x:v>无</x:v>
      </x:c>
      <x:c r="J186" s="6" t="str">
        <x:v>无</x:v>
      </x:c>
      <x:c r="K186" s="6" t="str">
        <x:v>相对原结构锚点新增/修改拓扑：仅屋面x=4m中间柱线移至x=4.5m，一层仍x=4m；按对应节点连接形成上层斜柱，屋面连接随实际网格</x:v>
      </x:c>
      <x:c r="L186" s="6" t="str">
        <x:v>基础工具；空间斜柱局部轴需验证</x:v>
      </x:c>
      <x:c r="M186" s="6" t="str">
        <x:v>逐字段材料/截面数值及单位；完整支承自由度、荷载坐标与结果观测点；局部轴和三向荷载约定；受荷宽度/分配规则逐梁列明</x:v>
      </x:c>
      <x:c r="N186" s="6" t="str">
        <x:v>独立规划骨架；可执行模型/数值真值待生成</x:v>
      </x:c>
      <x:c r="O186" s="30" t="n">
        <x:f>COUNTIFS('300题规划'!$C$2:$C$301,A186)</x:f>
        <x:v>1</x:v>
      </x:c>
      <x:c r="P186" s="5" t="str">
        <x:f>INDEX('300题规划'!$Y$2:$Y$301,MATCH(B186,'300题规划'!$A$2:$A$301,0))</x:f>
        <x:v>OpenSees</x:v>
      </x:c>
      <x:c r="Q186" s="5" t="str">
        <x:f>INDEX('300题规划'!$AB$2:$AB$301,MATCH(B186,'300题规划'!$A$2:$A$301,0))</x:f>
        <x:v>待逐题验证</x:v>
      </x:c>
    </x:row>
    <x:row r="187" ht="81" customHeight="1">
      <x:c r="A187" s="27" t="str">
        <x:v>M-INT-086</x:v>
      </x:c>
      <x:c r="B187" s="11" t="str">
        <x:v>INT-086</x:v>
      </x:c>
      <x:c r="C187" s="11" t="str">
        <x:v>L形缺角框架外缘偏置水平力</x:v>
      </x:c>
      <x:c r="D187" s="11" t="str">
        <x:v>空间框架</x:v>
      </x:c>
      <x:c r="E187" s="11" t="str">
        <x:v>3D</x:v>
      </x:c>
      <x:c r="F187" s="11" t="str">
        <x:v>L3</x:v>
      </x:c>
      <x:c r="G187" s="11" t="str">
        <x:v>2乘2网格删去一个角部单元区域，两层3.6m，全部实际梁柱按表给出；二层外缘节点(x=12,y=0,z=7.2)m另施加Y正向12kN，缺失角区仍无梁柱楼面；所有柱脚六自由度固定；底及两层基网格X=0/6/12m、Y=0/5/10m，z=0/3.6/7.2m；删除东北单元区域X=6～12/Y=5～10及孤立角点(12,10)，以剩余三格并集的实际梁柱为准；每个实际楼面梁全局Z负向6kN/m，所有不存在角区不加载；另有屋面外缘12kN侧力。</x:v>
      </x:c>
      <x:c r="H187" s="11" t="str">
        <x:v>不能补齐缺失角区与虚构楼面；荷载分量需与交互状态独立保持</x:v>
      </x:c>
      <x:c r="I187" s="11" t="str">
        <x:v>无</x:v>
      </x:c>
      <x:c r="J187" s="11" t="str">
        <x:v>无</x:v>
      </x:c>
      <x:c r="K187" s="11" t="str">
        <x:v>相对原结构锚点新增/修改荷载分量：二层外缘节点(x=12,y=0,z=7.2)m另施加Y正向12kN，缺失角区仍无梁柱楼面</x:v>
      </x:c>
      <x:c r="L187" s="11" t="str">
        <x:v>不规则楼面荷载映射需验证；不规则楼面映射需验证</x:v>
      </x:c>
      <x:c r="M187" s="11" t="str">
        <x:v>逐字段材料/截面数值及单位；完整支承自由度、荷载坐标与结果观测点；局部轴和三向荷载约定；受荷宽度/分配规则逐梁列明</x:v>
      </x:c>
      <x:c r="N187" s="11" t="str">
        <x:v>独立规划骨架；可执行模型/数值真值待生成</x:v>
      </x:c>
      <x:c r="O187" s="30" t="n">
        <x:f>COUNTIFS('300题规划'!$C$2:$C$301,A187)</x:f>
        <x:v>1</x:v>
      </x:c>
      <x:c r="P187" s="5" t="str">
        <x:f>INDEX('300题规划'!$Y$2:$Y$301,MATCH(B187,'300题规划'!$A$2:$A$301,0))</x:f>
        <x:v>YJK</x:v>
      </x:c>
      <x:c r="Q187" s="5" t="str">
        <x:f>INDEX('300题规划'!$AB$2:$AB$301,MATCH(B187,'300题规划'!$A$2:$A$301,0))</x:f>
        <x:v>存在已知接口缺口</x:v>
      </x:c>
    </x:row>
    <x:row r="188" ht="67.5" customHeight="1">
      <x:c r="A188" s="28" t="str">
        <x:v>M-INT-087</x:v>
      </x:c>
      <x:c r="B188" s="6" t="str">
        <x:v>INT-087</x:v>
      </x:c>
      <x:c r="C188" s="6" t="str">
        <x:v>退台空间框架下层边柱加强</x:v>
      </x:c>
      <x:c r="D188" s="6" t="str">
        <x:v>空间框架</x:v>
      </x:c>
      <x:c r="E188" s="6" t="str">
        <x:v>3D</x:v>
      </x:c>
      <x:c r="F188" s="6" t="str">
        <x:v>L3</x:v>
      </x:c>
      <x:c r="G188" s="6" t="str">
        <x:v>下层2乘2跨、上层仅1乘2跨，给各层实际柱网和荷载作用区；全部首层外边柱的Iy/Iz是上层同角色柱的1.5倍、面积相同，首层中柱按原属性；所有柱脚六自由度固定；首层X=0/6/12m、Y=0/5/10m、z=3.6m；上层仅X=0/6m、Y=0/5/10m、z=7.2m；首层柱脚z=0；首层实际楼面梁8kN/m、上层实际梁6kN/m，均全局Z负向。</x:v>
      </x:c>
      <x:c r="H188" s="6" t="str">
        <x:v>分层拓扑不同且楼面区域不同；截面分组需与交互状态独立保持</x:v>
      </x:c>
      <x:c r="I188" s="6" t="str">
        <x:v>无</x:v>
      </x:c>
      <x:c r="J188" s="6" t="str">
        <x:v>无</x:v>
      </x:c>
      <x:c r="K188" s="6" t="str">
        <x:v>相对原结构锚点新增/修改截面分组：全部首层外边柱的Iy/Iz是上层同角色柱的1.5倍、面积相同，首层中柱按原属性</x:v>
      </x:c>
      <x:c r="L188" s="6" t="str">
        <x:v>不规则楼面荷载映射需验证；不规则楼面映射需验证</x:v>
      </x:c>
      <x:c r="M188" s="6" t="str">
        <x:v>逐字段材料/截面数值及单位；完整支承自由度、荷载坐标与结果观测点；局部轴和三向荷载约定；受荷宽度/分配规则逐梁列明</x:v>
      </x:c>
      <x:c r="N188" s="6" t="str">
        <x:v>独立规划骨架；可执行模型/数值真值待生成</x:v>
      </x:c>
      <x:c r="O188" s="30" t="n">
        <x:f>COUNTIFS('300题规划'!$C$2:$C$301,A188)</x:f>
        <x:v>1</x:v>
      </x:c>
      <x:c r="P188" s="5" t="str">
        <x:f>INDEX('300题规划'!$Y$2:$Y$301,MATCH(B188,'300题规划'!$A$2:$A$301,0))</x:f>
        <x:v>PKPM</x:v>
      </x:c>
      <x:c r="Q188" s="5" t="str">
        <x:f>INDEX('300题规划'!$AB$2:$AB$301,MATCH(B188,'300题规划'!$A$2:$A$301,0))</x:f>
        <x:v>存在已知接口缺口</x:v>
      </x:c>
    </x:row>
    <x:row r="189" ht="67.5" customHeight="1">
      <x:c r="A189" s="27" t="str">
        <x:v>M-INT-088</x:v>
      </x:c>
      <x:c r="B189" s="11" t="str">
        <x:v>INT-088</x:v>
      </x:c>
      <x:c r="C189" s="11" t="str">
        <x:v>上下层梁刚度不同的双向侧载框架</x:v>
      </x:c>
      <x:c r="D189" s="11" t="str">
        <x:v>空间框架</x:v>
      </x:c>
      <x:c r="E189" s="11" t="str">
        <x:v>3D</x:v>
      </x:c>
      <x:c r="F189" s="11" t="str">
        <x:v>L3</x:v>
      </x:c>
      <x:c r="G189" s="11" t="str">
        <x:v>两层2乘1跨，重力与X/Y侧力分别给定，三个组合；第一层所有梁B1，屋面所有梁B2，B2的Iy/Iz为B1的0.8倍、面积相同；所有柱脚六自由度固定；两层各3.6m，X=0/6/12m、Y=0/5m，完整对应梁柱网格；D所有楼面梁向下8kN/m；W-X在各层右外缘节点X向10/15kN，W-Y同节点Y向8/12kN；组合D、D+WX、D+WY。</x:v>
      </x:c>
      <x:c r="H189" s="11" t="str">
        <x:v>两个水平分量及组合响应定位；截面分组需与交互状态独立保持</x:v>
      </x:c>
      <x:c r="I189" s="11" t="str">
        <x:v>无</x:v>
      </x:c>
      <x:c r="J189" s="11" t="str">
        <x:v>无</x:v>
      </x:c>
      <x:c r="K189" s="11" t="str">
        <x:v>相对原结构锚点新增/修改截面分组：第一层所有梁B1，屋面所有梁B2，B2的Iy/Iz为B1的0.8倍、面积相同</x:v>
      </x:c>
      <x:c r="L189" s="11" t="str">
        <x:v>多组合执行契约需验证</x:v>
      </x:c>
      <x:c r="M189" s="11" t="str">
        <x:v>逐字段材料/截面数值及单位；完整支承自由度、荷载坐标与结果观测点；局部轴和三向荷载约定；受荷宽度/分配规则逐梁列明；完整工况/组合系数表</x:v>
      </x:c>
      <x:c r="N189" s="11" t="str">
        <x:v>独立规划骨架；可执行模型/数值真值待生成</x:v>
      </x:c>
      <x:c r="O189" s="30" t="n">
        <x:f>COUNTIFS('300题规划'!$C$2:$C$301,A189)</x:f>
        <x:v>1</x:v>
      </x:c>
      <x:c r="P189" s="5" t="str">
        <x:f>INDEX('300题规划'!$Y$2:$Y$301,MATCH(B189,'300题规划'!$A$2:$A$301,0))</x:f>
        <x:v>OpenSees</x:v>
      </x:c>
      <x:c r="Q189" s="5" t="str">
        <x:f>INDEX('300题规划'!$AB$2:$AB$301,MATCH(B189,'300题规划'!$A$2:$A$301,0))</x:f>
        <x:v>待逐题验证</x:v>
      </x:c>
    </x:row>
    <x:row r="190" ht="67.5" customHeight="1">
      <x:c r="A190" s="28" t="str">
        <x:v>M-INT-089</x:v>
      </x:c>
      <x:c r="B190" s="6" t="str">
        <x:v>INT-089</x:v>
      </x:c>
      <x:c r="C190" s="6" t="str">
        <x:v>角柱铰脚与柱组截面空间框架</x:v>
      </x:c>
      <x:c r="D190" s="6" t="str">
        <x:v>空间框架</x:v>
      </x:c>
      <x:c r="E190" s="6" t="str">
        <x:v>3D</x:v>
      </x:c>
      <x:c r="F190" s="6" t="str">
        <x:v>L3</x:v>
      </x:c>
      <x:c r="G190" s="6" t="str">
        <x:v>两层2乘2跨，角柱/边柱/中柱三组截面，梁另分X/Y两组；仅(0,0,0)和(12,10,0)两个对角柱脚转动自由，平移约束；其余柱脚固定；(0,0,0)、(12,10,0)柱脚三平移固定/三转动自由；其余柱脚六自由度固定；两层各3.6m，X=0/6/12m、Y=0/5/10m；角柱/边柱/中柱按实际平面位置分组；各楼面梁向下8kN/m。</x:v>
      </x:c>
      <x:c r="H190" s="6" t="str">
        <x:v>空间位置到构件组的映射；边界需与交互状态独立保持</x:v>
      </x:c>
      <x:c r="I190" s="6" t="str">
        <x:v>无</x:v>
      </x:c>
      <x:c r="J190" s="6" t="str">
        <x:v>无</x:v>
      </x:c>
      <x:c r="K190" s="6" t="str">
        <x:v>相对原结构锚点新增/修改边界：仅(0,0,0)和(12,10,0)两个对角柱脚转动自由，平移约束；其余柱脚固定</x:v>
      </x:c>
      <x:c r="L190" s="6" t="str">
        <x:v>基础工具；空间铰脚约束输入需验证</x:v>
      </x:c>
      <x:c r="M190" s="6" t="str">
        <x:v>逐字段材料/截面数值及单位；完整支承自由度、荷载坐标与结果观测点；局部轴和三向荷载约定；受荷宽度/分配规则逐梁列明</x:v>
      </x:c>
      <x:c r="N190" s="6" t="str">
        <x:v>独立规划骨架；可执行模型/数值真值待生成</x:v>
      </x:c>
      <x:c r="O190" s="30" t="n">
        <x:f>COUNTIFS('300题规划'!$C$2:$C$301,A190)</x:f>
        <x:v>1</x:v>
      </x:c>
      <x:c r="P190" s="5" t="str">
        <x:f>INDEX('300题规划'!$Y$2:$Y$301,MATCH(B190,'300题规划'!$A$2:$A$301,0))</x:f>
        <x:v>PKPM</x:v>
      </x:c>
      <x:c r="Q190" s="5" t="str">
        <x:f>INDEX('300题规划'!$AB$2:$AB$301,MATCH(B190,'300题规划'!$A$2:$A$301,0))</x:f>
        <x:v>存在已知接口缺口</x:v>
      </x:c>
    </x:row>
    <x:row r="191" ht="67.5" customHeight="1">
      <x:c r="A191" s="27" t="str">
        <x:v>M-INT-090</x:v>
      </x:c>
      <x:c r="B191" s="11" t="str">
        <x:v>INT-090</x:v>
      </x:c>
      <x:c r="C191" s="11" t="str">
        <x:v>局部轴旋转框架附加屋面扭矩</x:v>
      </x:c>
      <x:c r="D191" s="11" t="str">
        <x:v>空间框架</x:v>
      </x:c>
      <x:c r="E191" s="11" t="str">
        <x:v>3D</x:v>
      </x:c>
      <x:c r="F191" s="11" t="str">
        <x:v>L3</x:v>
      </x:c>
      <x:c r="G191" s="11" t="str">
        <x:v>两层1乘2跨，指定矩形截面柱局部轴转90度，其余不变，双向侧力；屋面节点(x=6,y=10,z=7.2)m另施加全局Z正向8kN·m扭矩，双向側力按附件；所有柱脚六自由度固定；两层各3.6m，X=0/6m、Y=0/5/10m；各层角柱(0,0)的截面局部轴相对标准转90°，所有矩形柱非对称；屋面右外缘Fx=15/Fy=10kN，各梁向下8kN/m。</x:v>
      </x:c>
      <x:c r="H191" s="11" t="str">
        <x:v>局部轴与强弱向刚度不能混淆；荷载类型需与交互状态独立保持</x:v>
      </x:c>
      <x:c r="I191" s="11" t="str">
        <x:v>无</x:v>
      </x:c>
      <x:c r="J191" s="11" t="str">
        <x:v>无</x:v>
      </x:c>
      <x:c r="K191" s="11" t="str">
        <x:v>相对原结构锚点新增/修改荷载类型：屋面节点(x=6,y=10,z=7.2)m另施加全局Z正向8kN·m扭矩，双向側力按附件</x:v>
      </x:c>
      <x:c r="L191" s="11" t="str">
        <x:v>局部轴输入与适配需验证；空间节点力矩输入需验证</x:v>
      </x:c>
      <x:c r="M191" s="11" t="str">
        <x:v>逐字段材料/截面数值及单位；完整支承自由度、荷载坐标与结果观测点；局部轴和三向荷载约定</x:v>
      </x:c>
      <x:c r="N191" s="11" t="str">
        <x:v>独立规划骨架；可执行模型/数值真值待生成</x:v>
      </x:c>
      <x:c r="O191" s="30" t="n">
        <x:f>COUNTIFS('300题规划'!$C$2:$C$301,A191)</x:f>
        <x:v>1</x:v>
      </x:c>
      <x:c r="P191" s="5" t="str">
        <x:f>INDEX('300题规划'!$Y$2:$Y$301,MATCH(B191,'300题规划'!$A$2:$A$301,0))</x:f>
        <x:v>OpenSees</x:v>
      </x:c>
      <x:c r="Q191" s="5" t="str">
        <x:f>INDEX('300题规划'!$AB$2:$AB$301,MATCH(B191,'300题规划'!$A$2:$A$301,0))</x:f>
        <x:v>待逐题验证</x:v>
      </x:c>
    </x:row>
    <x:row r="192" ht="67.5" customHeight="1">
      <x:c r="A192" s="28" t="str">
        <x:v>M-INT-091</x:v>
      </x:c>
      <x:c r="B192" s="6" t="str">
        <x:v>INT-091</x:v>
      </x:c>
      <x:c r="C192" s="6" t="str">
        <x:v>分区活载框架附加边缘水平力</x:v>
      </x:c>
      <x:c r="D192" s="6" t="str">
        <x:v>空间框架</x:v>
      </x:c>
      <x:c r="E192" s="6" t="str">
        <x:v>3D</x:v>
      </x:c>
      <x:c r="F192" s="6" t="str">
        <x:v>L3</x:v>
      </x:c>
      <x:c r="G192" s="6" t="str">
        <x:v>两层2乘2跨，D全部梁线载，L只指定矩形分区边界梁，分配规则明示；新增W工况，屋面(x=12,y=0,z=7.2)m施加Y负向9kN，组合D+L+W；所有柱脚六自由度固定；两层各3.6m，X=0/6/12m、Y=0/5/10m；D所有梁向下6kN/m；L初始仅二层西南格X=0～6/Y=0～5的四条边梁各4kN/m，区域B为东南格。</x:v>
      </x:c>
      <x:c r="H192" s="6" t="str">
        <x:v>空间荷载作用区域与重复加载；荷载工况需与交互状态独立保持</x:v>
      </x:c>
      <x:c r="I192" s="6" t="str">
        <x:v>无</x:v>
      </x:c>
      <x:c r="J192" s="6" t="str">
        <x:v>无</x:v>
      </x:c>
      <x:c r="K192" s="6" t="str">
        <x:v>相对原结构锚点新增/修改荷载工况：新增W工况，屋面(x=12,y=0,z=7.2)m施加Y负向9kN，组合D+L+W</x:v>
      </x:c>
      <x:c r="L192" s="6" t="str">
        <x:v>基础工具；多工况执行契约需验证</x:v>
      </x:c>
      <x:c r="M192" s="6" t="str">
        <x:v>逐字段材料/截面数值及单位；完整支承自由度、荷载坐标与结果观测点；局部轴和三向荷载约定；完整工况/组合系数表</x:v>
      </x:c>
      <x:c r="N192" s="6" t="str">
        <x:v>独立规划骨架；可执行模型/数值真值待生成</x:v>
      </x:c>
      <x:c r="O192" s="30" t="n">
        <x:f>COUNTIFS('300题规划'!$C$2:$C$301,A192)</x:f>
        <x:v>1</x:v>
      </x:c>
      <x:c r="P192" s="5" t="str">
        <x:f>INDEX('300题规划'!$Y$2:$Y$301,MATCH(B192,'300题规划'!$A$2:$A$301,0))</x:f>
        <x:v>YJK</x:v>
      </x:c>
      <x:c r="Q192" s="5" t="str">
        <x:f>INDEX('300题规划'!$AB$2:$AB$301,MATCH(B192,'300题规划'!$A$2:$A$301,0))</x:f>
        <x:v>存在已知接口缺口</x:v>
      </x:c>
    </x:row>
    <x:row r="193" ht="67.5" customHeight="1">
      <x:c r="A193" s="27" t="str">
        <x:v>M-INT-092</x:v>
      </x:c>
      <x:c r="B193" s="11" t="str">
        <x:v>INT-092</x:v>
      </x:c>
      <x:c r="C193" s="11" t="str">
        <x:v>前侧中柱缺失的斜屋盖空间框架</x:v>
      </x:c>
      <x:c r="D193" s="11" t="str">
        <x:v>空间框架</x:v>
      </x:c>
      <x:c r="E193" s="11" t="str">
        <x:v>3D</x:v>
      </x:c>
      <x:c r="F193" s="11" t="str">
        <x:v>L3</x:v>
      </x:c>
      <x:c r="G193" s="11" t="str">
        <x:v>单层2乘1跨，屋面一侧高6m另一侧8m，坡梁按实际长度竖向加载；y=0立面x=6m的柱取消，屋面该节点保留并连接左右坡梁及Y向梁，其余柱完整；所有柱脚六自由度固定；柱网X=0/6/12m、Y=0/5m；屋面y=0侧z=6m、y=5侧z=8m，底z=0；y=0且x=6m柱缺失，其屋面节点保留；实际坡梁全局竖向5kN/m。</x:v>
      </x:c>
      <x:c r="H193" s="11" t="str">
        <x:v>三维斜梁连接与荷载投影；拓扑需与交互状态独立保持</x:v>
      </x:c>
      <x:c r="I193" s="11" t="str">
        <x:v>无</x:v>
      </x:c>
      <x:c r="J193" s="11" t="str">
        <x:v>无</x:v>
      </x:c>
      <x:c r="K193" s="11" t="str">
        <x:v>相对原结构锚点新增/修改拓扑：y=0立面x=6m的柱取消，屋面该节点保留并连接左右坡梁及Y向梁，其余柱完整</x:v>
      </x:c>
      <x:c r="L193" s="11" t="str">
        <x:v>斜杆荷载与局部轴需验证；不规则空间连通与斜杆需验证</x:v>
      </x:c>
      <x:c r="M193" s="11" t="str">
        <x:v>逐字段材料/截面数值及单位；完整支承自由度、荷载坐标与结果观测点；局部轴和三向荷载约定</x:v>
      </x:c>
      <x:c r="N193" s="11" t="str">
        <x:v>独立规划骨架；可执行模型/数值真值待生成</x:v>
      </x:c>
      <x:c r="O193" s="30" t="n">
        <x:f>COUNTIFS('300题规划'!$C$2:$C$301,A193)</x:f>
        <x:v>1</x:v>
      </x:c>
      <x:c r="P193" s="5" t="str">
        <x:f>INDEX('300题规划'!$Y$2:$Y$301,MATCH(B193,'300题规划'!$A$2:$A$301,0))</x:f>
        <x:v>YJK</x:v>
      </x:c>
      <x:c r="Q193" s="5" t="str">
        <x:f>INDEX('300题规划'!$AB$2:$AB$301,MATCH(B193,'300题规划'!$A$2:$A$301,0))</x:f>
        <x:v>存在已知接口缺口</x:v>
      </x:c>
    </x:row>
    <x:row r="194" ht="67.5" customHeight="1">
      <x:c r="A194" s="28" t="str">
        <x:v>M-INT-093</x:v>
      </x:c>
      <x:c r="B194" s="6" t="str">
        <x:v>INT-093</x:v>
      </x:c>
      <x:c r="C194" s="6" t="str">
        <x:v>空间支撑框架不同立面梁截面</x:v>
      </x:c>
      <x:c r="D194" s="6" t="str">
        <x:v>空间框架</x:v>
      </x:c>
      <x:c r="E194" s="6" t="str">
        <x:v>3D</x:v>
      </x:c>
      <x:c r="F194" s="6" t="str">
        <x:v>L3</x:v>
      </x:c>
      <x:c r="G194" s="6" t="str">
        <x:v>两层1乘1跨，仅一侧立面设轴力斜撑，其他面刚接梁柱，双向荷载；Y=0立面的两层水平梁用B2，另三面的梁B1；B2的Iy/Iz为B1的1.5倍、面积相同；所有柱脚六自由度固定；两层各3.6m，X=0/6m、Y=0/5m；Y=0立面第一层两根轴力交叉斜撑不在交点相连，其他面无斜撑；楼面梁6kN/m，屋面(6,5)节点Fx=12/Fy=9kN。</x:v>
      </x:c>
      <x:c r="H194" s="6" t="str">
        <x:v>立面位置与混合单元类型；截面分组需与交互状态独立保持</x:v>
      </x:c>
      <x:c r="I194" s="6" t="str">
        <x:v>无</x:v>
      </x:c>
      <x:c r="J194" s="6" t="str">
        <x:v>无</x:v>
      </x:c>
      <x:c r="K194" s="6" t="str">
        <x:v>相对原结构锚点新增/修改截面分组：Y=0立面的两层水平梁用B2，另三面的梁B1；B2的Iy/Iz为B1的1.5倍、面积相同</x:v>
      </x:c>
      <x:c r="L194" s="6" t="str">
        <x:v>混合单元工具链需验证</x:v>
      </x:c>
      <x:c r="M194" s="6" t="str">
        <x:v>逐字段材料/截面数值及单位；完整支承自由度、荷载坐标与结果观测点；局部轴和三向荷载约定；受荷宽度/分配规则逐梁列明</x:v>
      </x:c>
      <x:c r="N194" s="6" t="str">
        <x:v>独立规划骨架；可执行模型/数值真值待生成</x:v>
      </x:c>
      <x:c r="O194" s="30" t="n">
        <x:f>COUNTIFS('300题规划'!$C$2:$C$301,A194)</x:f>
        <x:v>1</x:v>
      </x:c>
      <x:c r="P194" s="5" t="str">
        <x:f>INDEX('300题规划'!$Y$2:$Y$301,MATCH(B194,'300题规划'!$A$2:$A$301,0))</x:f>
        <x:v>OpenSees</x:v>
      </x:c>
      <x:c r="Q194" s="5" t="str">
        <x:f>INDEX('300题规划'!$AB$2:$AB$301,MATCH(B194,'300题规划'!$A$2:$A$301,0))</x:f>
        <x:v>待逐题验证</x:v>
      </x:c>
    </x:row>
    <x:row r="195" ht="67.5" customHeight="1">
      <x:c r="A195" s="27" t="str">
        <x:v>M-INT-094</x:v>
      </x:c>
      <x:c r="B195" s="11" t="str">
        <x:v>INT-094</x:v>
      </x:c>
      <x:c r="C195" s="11" t="str">
        <x:v>轴变换框架的局部设备力矩</x:v>
      </x:c>
      <x:c r="D195" s="11" t="str">
        <x:v>空间框架</x:v>
      </x:c>
      <x:c r="E195" s="11" t="str">
        <x:v>3D</x:v>
      </x:c>
      <x:c r="F195" s="11" t="str">
        <x:v>L3</x:v>
      </x:c>
      <x:c r="G195" s="11" t="str">
        <x:v>给源坐标Y向上与到全局Z向上的明确映射，非等跨两层，荷载向量按源轴给定；源坐标最高外角节点另施加绕源Y正向6kN·m，按完整映射同时变换力矩与节点位置；所有柱脚六自由度固定；源轴Xs=0/4/10m、Zs=0/5m，竖向Ys=0/3.5/7m；所有相邻梁柱按对应网格连接；源Xs向屋面侧力12kN、源Ys负向各梁6kN/m；映射Xg=Xs、Yg=-Zs、Zg=Ys。</x:v>
      </x:c>
      <x:c r="H195" s="11" t="str">
        <x:v>几何、约束和荷载必须一致变换；荷载类型需与交互状态独立保持</x:v>
      </x:c>
      <x:c r="I195" s="11" t="str">
        <x:v>无</x:v>
      </x:c>
      <x:c r="J195" s="11" t="str">
        <x:v>无</x:v>
      </x:c>
      <x:c r="K195" s="11" t="str">
        <x:v>相对原结构锚点新增/修改荷载类型：源坐标最高外角节点另施加绕源Y正向6kN·m，按完整映射同时变换力矩与节点位置</x:v>
      </x:c>
      <x:c r="L195" s="11" t="str">
        <x:v>坐标转换协议需验证；坐标转换及节点力矩需验证</x:v>
      </x:c>
      <x:c r="M195" s="11" t="str">
        <x:v>逐字段材料/截面数值及单位；完整支承自由度、荷载坐标与结果观测点；局部轴和三向荷载约定</x:v>
      </x:c>
      <x:c r="N195" s="11" t="str">
        <x:v>独立规划骨架；可执行模型/数值真值待生成</x:v>
      </x:c>
      <x:c r="O195" s="30" t="n">
        <x:f>COUNTIFS('300题规划'!$C$2:$C$301,A195)</x:f>
        <x:v>1</x:v>
      </x:c>
      <x:c r="P195" s="5" t="str">
        <x:f>INDEX('300题规划'!$Y$2:$Y$301,MATCH(B195,'300题规划'!$A$2:$A$301,0))</x:f>
        <x:v>OpenSees</x:v>
      </x:c>
      <x:c r="Q195" s="5" t="str">
        <x:f>INDEX('300题规划'!$AB$2:$AB$301,MATCH(B195,'300题规划'!$A$2:$A$301,0))</x:f>
        <x:v>待逐题验证</x:v>
      </x:c>
    </x:row>
    <x:row r="196" ht="52.5" customHeight="1">
      <x:c r="A196" s="28" t="str">
        <x:v>M-INT-095</x:v>
      </x:c>
      <x:c r="B196" s="6" t="str">
        <x:v>INT-095</x:v>
      </x:c>
      <x:c r="C196" s="6" t="str">
        <x:v>中段受附加轴力的混凝土柱</x:v>
      </x:c>
      <x:c r="D196" s="6" t="str">
        <x:v>柱</x:v>
      </x:c>
      <x:c r="E196" s="6" t="str">
        <x:v>2D</x:v>
      </x:c>
      <x:c r="F196" s="6" t="str">
        <x:v>L2</x:v>
      </x:c>
      <x:c r="G196" s="6" t="str">
        <x:v>高4.5m、400×400mm，柱底固定，柱顶向下500kN；柱中高z=2.25m节点另向下100kN，柱顶500kN保持；上下柱段连续。</x:v>
      </x:c>
      <x:c r="H196" s="6" t="str">
        <x:v>轴压方向与材料截面；荷载位置需与交互状态独立保持</x:v>
      </x:c>
      <x:c r="I196" s="6" t="str">
        <x:v>independent-column-static</x:v>
      </x:c>
      <x:c r="J196" s="6" t="str">
        <x:v>column-concrete-4p5-500</x:v>
      </x:c>
      <x:c r="K196" s="6" t="str">
        <x:v>相对原结构锚点新增/修改荷载位置：柱中高z=2.25m节点另向下100kN，柱顶500kN保持；上下柱段连续</x:v>
      </x:c>
      <x:c r="L196" s="6" t="str">
        <x:v>基础工具</x:v>
      </x:c>
      <x:c r="M196" s="6" t="str">
        <x:v>逐字段材料/截面数值及单位；完整支承自由度、荷载坐标与结果观测点</x:v>
      </x:c>
      <x:c r="N196" s="6" t="str">
        <x:v>独立规划骨架；可执行模型/数值真值待生成</x:v>
      </x:c>
      <x:c r="O196" s="30" t="n">
        <x:f>COUNTIFS('300题规划'!$C$2:$C$301,A196)</x:f>
        <x:v>1</x:v>
      </x:c>
      <x:c r="P196" s="5" t="str">
        <x:f>INDEX('300题规划'!$Y$2:$Y$301,MATCH(B196,'300题规划'!$A$2:$A$301,0))</x:f>
        <x:v>OpenSees</x:v>
      </x:c>
      <x:c r="Q196" s="5" t="str">
        <x:f>INDEX('300题规划'!$AB$2:$AB$301,MATCH(B196,'300题规划'!$A$2:$A$301,0))</x:f>
        <x:v>待逐题验证</x:v>
      </x:c>
    </x:row>
    <x:row r="197" ht="52.5" customHeight="1">
      <x:c r="A197" s="27" t="str">
        <x:v>M-INT-096</x:v>
      </x:c>
      <x:c r="B197" s="11" t="str">
        <x:v>INT-096</x:v>
      </x:c>
      <x:c r="C197" s="11" t="str">
        <x:v>强弱段组成的受压侧载柱</x:v>
      </x:c>
      <x:c r="D197" s="11" t="str">
        <x:v>柱</x:v>
      </x:c>
      <x:c r="E197" s="11" t="str">
        <x:v>2D</x:v>
      </x:c>
      <x:c r="F197" s="11" t="str">
        <x:v>L2</x:v>
      </x:c>
      <x:c r="G197" s="11" t="str">
        <x:v>高4.2m、下半450×450、上半350×450mm，底固定，顶向下600kN及X向30kN，一阶弹性；下半高0～2.1m截面450×450mm，上半高350×450mm且轴定义明确，完整A/I/J给定。</x:v>
      </x:c>
      <x:c r="H197" s="11" t="str">
        <x:v>轴向和侧向分量分开；截面分组需与交互状态独立保持</x:v>
      </x:c>
      <x:c r="I197" s="11" t="str">
        <x:v>std-column-axial-600kn-lateral30</x:v>
      </x:c>
      <x:c r="J197" s="11" t="str">
        <x:v>column-concrete-4p2-600-30</x:v>
      </x:c>
      <x:c r="K197" s="11" t="str">
        <x:v>相对原结构锚点新增/修改截面分组：下半高0～2.1m截面450×450mm，上半高350×450mm且轴定义明确，完整A/I/J给定</x:v>
      </x:c>
      <x:c r="L197" s="11" t="str">
        <x:v>基础工具；局部轴定义需验证</x:v>
      </x:c>
      <x:c r="M197" s="11" t="str">
        <x:v>逐字段材料/截面数值及单位；完整支承自由度、荷载坐标与结果观测点</x:v>
      </x:c>
      <x:c r="N197" s="11" t="str">
        <x:v>独立规划骨架；可执行模型/数值真值待生成</x:v>
      </x:c>
      <x:c r="O197" s="30" t="n">
        <x:f>COUNTIFS('300题规划'!$C$2:$C$301,A197)</x:f>
        <x:v>1</x:v>
      </x:c>
      <x:c r="P197" s="5" t="str">
        <x:f>INDEX('300题规划'!$Y$2:$Y$301,MATCH(B197,'300题规划'!$A$2:$A$301,0))</x:f>
        <x:v>OpenSees</x:v>
      </x:c>
      <x:c r="Q197" s="5" t="str">
        <x:f>INDEX('300题规划'!$AB$2:$AB$301,MATCH(B197,'300题规划'!$A$2:$A$301,0))</x:f>
        <x:v>待逐题验证</x:v>
      </x:c>
    </x:row>
    <x:row r="198" ht="52.5" customHeight="1">
      <x:c r="A198" s="28" t="str">
        <x:v>M-INT-097</x:v>
      </x:c>
      <x:c r="B198" s="6" t="str">
        <x:v>INT-097</x:v>
      </x:c>
      <x:c r="C198" s="6" t="str">
        <x:v>柱中横力加顶端轴压钢柱</x:v>
      </x:c>
      <x:c r="D198" s="6" t="str">
        <x:v>柱</x:v>
      </x:c>
      <x:c r="E198" s="6" t="str">
        <x:v>2D</x:v>
      </x:c>
      <x:c r="F198" s="6" t="str">
        <x:v>L1</x:v>
      </x:c>
      <x:c r="G198" s="6" t="str">
        <x:v>高5m、HW300×300，底固定，顶向下700kN；z=2m处设连续节点并施加X正向12kN，顶端700kN保持，整柱仍5m、同HW300×300截面。</x:v>
      </x:c>
      <x:c r="H198" s="6" t="str">
        <x:v>不能将静力分析表述为稳定验算；荷载类型与位置需与交互状态独立保持</x:v>
      </x:c>
      <x:c r="I198" s="6" t="str">
        <x:v>std-column-steel-5m-en</x:v>
      </x:c>
      <x:c r="J198" s="6" t="str">
        <x:v>column-steel-5m-700</x:v>
      </x:c>
      <x:c r="K198" s="6" t="str">
        <x:v>相对原结构锚点新增/修改荷载类型与位置：z=2m处设连续节点并施加X正向12kN，顶端700kN保持，整柱仍5m、同HW300×300截面</x:v>
      </x:c>
      <x:c r="L198" s="6" t="str">
        <x:v>基础工具</x:v>
      </x:c>
      <x:c r="M198" s="6" t="str">
        <x:v>逐字段材料/截面数值及单位；完整支承自由度、荷载坐标与结果观测点</x:v>
      </x:c>
      <x:c r="N198" s="6" t="str">
        <x:v>独立规划骨架；可执行模型/数值真值待生成</x:v>
      </x:c>
      <x:c r="O198" s="30" t="n">
        <x:f>COUNTIFS('300题规划'!$C$2:$C$301,A198)</x:f>
        <x:v>1</x:v>
      </x:c>
      <x:c r="P198" s="5" t="str">
        <x:f>INDEX('300题规划'!$Y$2:$Y$301,MATCH(B198,'300题规划'!$A$2:$A$301,0))</x:f>
        <x:v>OpenSees</x:v>
      </x:c>
      <x:c r="Q198" s="5" t="str">
        <x:f>INDEX('300题规划'!$AB$2:$AB$301,MATCH(B198,'300题规划'!$A$2:$A$301,0))</x:f>
        <x:v>待逐题验证</x:v>
      </x:c>
    </x:row>
    <x:row r="199" ht="52.5" customHeight="1">
      <x:c r="A199" s="27" t="str">
        <x:v>M-INT-098</x:v>
      </x:c>
      <x:c r="B199" s="11" t="str">
        <x:v>INT-098</x:v>
      </x:c>
      <x:c r="C199" s="11" t="str">
        <x:v>空间柱顶力与中段横力</x:v>
      </x:c>
      <x:c r="D199" s="11" t="str">
        <x:v>柱</x:v>
      </x:c>
      <x:c r="E199" s="11" t="str">
        <x:v>3D</x:v>
      </x:c>
      <x:c r="F199" s="11" t="str">
        <x:v>L3</x:v>
      </x:c>
      <x:c r="G199" s="11" t="str">
        <x:v>高6m，底六自由度固定，顶X向20、Y向15、Z向-400kN，给非对称截面；z=3m处连续节点另施加X负向8kN；顶20/15/-400kN三分量保留。</x:v>
      </x:c>
      <x:c r="H199" s="11" t="str">
        <x:v>两个弯曲方向与截面惯性矩；荷载位置需与交互状态独立保持</x:v>
      </x:c>
      <x:c r="I199" s="11" t="str">
        <x:v>无</x:v>
      </x:c>
      <x:c r="J199" s="11" t="str">
        <x:v>无</x:v>
      </x:c>
      <x:c r="K199" s="11" t="str">
        <x:v>相对原结构锚点新增/修改荷载位置：z=3m处连续节点另施加X负向8kN；顶20/15/-400kN三分量保留</x:v>
      </x:c>
      <x:c r="L199" s="11" t="str">
        <x:v>空间局部轴需验证</x:v>
      </x:c>
      <x:c r="M199" s="11" t="str">
        <x:v>逐字段材料/截面数值及单位；完整支承自由度、荷载坐标与结果观测点；局部轴和三向荷载约定</x:v>
      </x:c>
      <x:c r="N199" s="11" t="str">
        <x:v>独立规划骨架；可执行模型/数值真值待生成</x:v>
      </x:c>
      <x:c r="O199" s="30" t="n">
        <x:f>COUNTIFS('300题规划'!$C$2:$C$301,A199)</x:f>
        <x:v>1</x:v>
      </x:c>
      <x:c r="P199" s="5" t="str">
        <x:f>INDEX('300题规划'!$Y$2:$Y$301,MATCH(B199,'300题规划'!$A$2:$A$301,0))</x:f>
        <x:v>OpenSees</x:v>
      </x:c>
      <x:c r="Q199" s="5" t="str">
        <x:f>INDEX('300题规划'!$AB$2:$AB$301,MATCH(B199,'300题规划'!$A$2:$A$301,0))</x:f>
        <x:v>待逐题验证</x:v>
      </x:c>
    </x:row>
    <x:row r="200" ht="52.5" customHeight="1">
      <x:c r="A200" s="28" t="str">
        <x:v>M-INT-099</x:v>
      </x:c>
      <x:c r="B200" s="6" t="str">
        <x:v>INT-099</x:v>
      </x:c>
      <x:c r="C200" s="6" t="str">
        <x:v>分段柱顶节点附加力矩</x:v>
      </x:c>
      <x:c r="D200" s="6" t="str">
        <x:v>柱</x:v>
      </x:c>
      <x:c r="E200" s="6" t="str">
        <x:v>2D</x:v>
      </x:c>
      <x:c r="F200" s="6" t="str">
        <x:v>L2</x:v>
      </x:c>
      <x:c r="G200" s="6" t="str">
        <x:v>高8m，下段0至3m用C1、上段用C2，顶轴压与侧力明确；柱顶另施加全局Y正向18kN·m，轴压和侧力按题表；截面分界仍初始3m；柱顶Fx=25kN、Fz=-500kN，另有全局Y正向18kN·m。</x:v>
      </x:c>
      <x:c r="H200" s="6" t="str">
        <x:v>截面分界节点与整体连续；荷载类型需与交互状态独立保持</x:v>
      </x:c>
      <x:c r="I200" s="6" t="str">
        <x:v>无</x:v>
      </x:c>
      <x:c r="J200" s="6" t="str">
        <x:v>无</x:v>
      </x:c>
      <x:c r="K200" s="6" t="str">
        <x:v>相对原结构锚点新增/修改荷载类型：柱顶另施加全局Y正向18kN·m，轴压和侧力按题表；截面分界仍初始3m</x:v>
      </x:c>
      <x:c r="L200" s="6" t="str">
        <x:v>基础工具；节点力矩输入需验证</x:v>
      </x:c>
      <x:c r="M200" s="6" t="str">
        <x:v>逐字段材料/截面数值及单位；完整支承自由度、荷载坐标与结果观测点</x:v>
      </x:c>
      <x:c r="N200" s="6" t="str">
        <x:v>独立规划骨架；可执行模型/数值真值待生成</x:v>
      </x:c>
      <x:c r="O200" s="30" t="n">
        <x:f>COUNTIFS('300题规划'!$C$2:$C$301,A200)</x:f>
        <x:v>1</x:v>
      </x:c>
      <x:c r="P200" s="5" t="str">
        <x:f>INDEX('300题规划'!$Y$2:$Y$301,MATCH(B200,'300题规划'!$A$2:$A$301,0))</x:f>
        <x:v>OpenSees</x:v>
      </x:c>
      <x:c r="Q200" s="5" t="str">
        <x:f>INDEX('300题规划'!$AB$2:$AB$301,MATCH(B200,'300题规划'!$A$2:$A$301,0))</x:f>
        <x:v>待逐题验证</x:v>
      </x:c>
    </x:row>
    <x:row r="201" ht="52.5" customHeight="1">
      <x:c r="A201" s="27" t="str">
        <x:v>M-INT-100</x:v>
      </x:c>
      <x:c r="B201" s="11" t="str">
        <x:v>INT-100</x:v>
      </x:c>
      <x:c r="C201" s="11" t="str">
        <x:v>柱短臂模型的中柱横向力</x:v>
      </x:c>
      <x:c r="D201" s="11" t="str">
        <x:v>柱</x:v>
      </x:c>
      <x:c r="E201" s="11" t="str">
        <x:v>3D</x:v>
      </x:c>
      <x:c r="F201" s="11" t="str">
        <x:v>L3</x:v>
      </x:c>
      <x:c r="G201" s="11" t="str">
        <x:v>柱高5m，柱顶沿X向刚接1m短梁，短梁端向下200kN及Y向10kN；柱z=2.5m处另设连续节点施加X正向16kN，与短梁端两分量独立。</x:v>
      </x:c>
      <x:c r="H201" s="11" t="str">
        <x:v>真实偏心几何与空间荷载，不用未声明刚臂简化；荷载位置需与交互状态独立保持</x:v>
      </x:c>
      <x:c r="I201" s="11" t="str">
        <x:v>无</x:v>
      </x:c>
      <x:c r="J201" s="11" t="str">
        <x:v>无</x:v>
      </x:c>
      <x:c r="K201" s="11" t="str">
        <x:v>相对原结构锚点新增/修改荷载位置：柱z=2.5m处另设连续节点施加X正向16kN，与短梁端两分量独立</x:v>
      </x:c>
      <x:c r="L201" s="11" t="str">
        <x:v>空间梁柱连接需验证</x:v>
      </x:c>
      <x:c r="M201" s="11" t="str">
        <x:v>逐字段材料/截面数值及单位；完整支承自由度、荷载坐标与结果观测点；局部轴和三向荷载约定</x:v>
      </x:c>
      <x:c r="N201" s="11" t="str">
        <x:v>独立规划骨架；可执行模型/数值真值待生成</x:v>
      </x:c>
      <x:c r="O201" s="30" t="n">
        <x:f>COUNTIFS('300题规划'!$C$2:$C$301,A201)</x:f>
        <x:v>1</x:v>
      </x:c>
      <x:c r="P201" s="5" t="str">
        <x:f>INDEX('300题规划'!$Y$2:$Y$301,MATCH(B201,'300题规划'!$A$2:$A$301,0))</x:f>
        <x:v>OpenSees</x:v>
      </x:c>
      <x:c r="Q201" s="5" t="str">
        <x:f>INDEX('300题规划'!$AB$2:$AB$301,MATCH(B201,'300题规划'!$A$2:$A$301,0))</x:f>
        <x:v>待逐题验证</x:v>
      </x:c>
    </x:row>
    <x:row r="202" ht="52.5" customHeight="1">
      <x:c r="A202" s="28" t="str">
        <x:v>M-MM-001</x:v>
      </x:c>
      <x:c r="B202" s="6" t="str">
        <x:v>MM-001</x:v>
      </x:c>
      <x:c r="C202" s="6" t="str">
        <x:v>双端固支均布梁</x:v>
      </x:c>
      <x:c r="D202" s="6" t="str">
        <x:v>梁</x:v>
      </x:c>
      <x:c r="E202" s="6" t="str">
        <x:v>2D</x:v>
      </x:c>
      <x:c r="F202" s="6" t="str">
        <x:v>L1</x:v>
      </x:c>
      <x:c r="G202" s="6" t="str">
        <x:v>几何：6m水平直梁，中点设连接观测节点；边界：两端均固支；荷载：全跨向下20kN/m；属性：全梁单一钢材M1和截面B1。</x:v>
      </x:c>
      <x:c r="H202" s="6" t="str">
        <x:v>清晰单图需识别两固端，不能沿用简支约束。</x:v>
      </x:c>
      <x:c r="I202" s="6" t="str">
        <x:v>beam-static-6m</x:v>
      </x:c>
      <x:c r="J202" s="6" t="str">
        <x:v>beam-simple-6m</x:v>
      </x:c>
      <x:c r="K202" s="6" t="str">
        <x:v>将原铰滚简支改为两端固支，端弯矩与跨中挠度机理改变。</x:v>
      </x:c>
      <x:c r="L202" s="6" t="str">
        <x:v>基础工具；本题新增几何/属性与真值均待独立核验；材料截面代号须在本题附录定值。</x:v>
      </x:c>
      <x:c r="M202" s="6" t="str">
        <x:v>逐字段材料/截面数值及单位；完整支承自由度、荷载坐标与结果观测点</x:v>
      </x:c>
      <x:c r="N202" s="6" t="str">
        <x:v>独立规划骨架；可执行模型/数值真值待生成</x:v>
      </x:c>
      <x:c r="O202" s="30" t="n">
        <x:f>COUNTIFS('300题规划'!$C$2:$C$301,A202)</x:f>
        <x:v>1</x:v>
      </x:c>
      <x:c r="P202" s="5" t="str">
        <x:f>INDEX('300题规划'!$Y$2:$Y$301,MATCH(B202,'300题规划'!$A$2:$A$301,0))</x:f>
        <x:v>OpenSees</x:v>
      </x:c>
      <x:c r="Q202" s="5" t="str">
        <x:f>INDEX('300题规划'!$AB$2:$AB$301,MATCH(B202,'300题规划'!$A$2:$A$301,0))</x:f>
        <x:v>待逐题验证</x:v>
      </x:c>
    </x:row>
    <x:row r="203" ht="54" customHeight="1">
      <x:c r="A203" s="27" t="str">
        <x:v>M-MM-002</x:v>
      </x:c>
      <x:c r="B203" s="11" t="str">
        <x:v>MM-002</x:v>
      </x:c>
      <x:c r="C203" s="11" t="str">
        <x:v>悬臂梁端部纯力矩</x:v>
      </x:c>
      <x:c r="D203" s="11" t="str">
        <x:v>梁</x:v>
      </x:c>
      <x:c r="E203" s="11" t="str">
        <x:v>2D</x:v>
      </x:c>
      <x:c r="F203" s="11" t="str">
        <x:v>L1</x:v>
      </x:c>
      <x:c r="G203" s="11" t="str">
        <x:v>几何：3m水平悬臂梁；边界：左端固支、右端自由；荷载：右端施加全局Y轴+12kN·m纯力矩，无竖向点力；属性：统一钢材M1、截面B1。</x:v>
      </x:c>
      <x:c r="H203" s="11" t="str">
        <x:v>圆箭头和力矩单位是主要读图点，输入本身简单完整。</x:v>
      </x:c>
      <x:c r="I203" s="11" t="str">
        <x:v>beam-cantilever-point-load</x:v>
      </x:c>
      <x:c r="J203" s="11" t="str">
        <x:v>beam-cantilever-3m-point10</x:v>
      </x:c>
      <x:c r="K203" s="11" t="str">
        <x:v>把端部竖向力改为纯力矩加载，形成不同弯矩分布。</x:v>
      </x:c>
      <x:c r="L203" s="11" t="str">
        <x:v>基础工具；本题新增几何/属性与真值均待独立核验；材料截面代号须在本题附录定值。节点力矩输入与符号契约待验证。</x:v>
      </x:c>
      <x:c r="M203" s="11" t="str">
        <x:v>逐字段材料/截面数值及单位；完整支承自由度、荷载坐标与结果观测点</x:v>
      </x:c>
      <x:c r="N203" s="11" t="str">
        <x:v>独立规划骨架；可执行模型/数值真值待生成</x:v>
      </x:c>
      <x:c r="O203" s="30" t="n">
        <x:f>COUNTIFS('300题规划'!$C$2:$C$301,A203)</x:f>
        <x:v>1</x:v>
      </x:c>
      <x:c r="P203" s="5" t="str">
        <x:f>INDEX('300题规划'!$Y$2:$Y$301,MATCH(B203,'300题规划'!$A$2:$A$301,0))</x:f>
        <x:v>OpenSees</x:v>
      </x:c>
      <x:c r="Q203" s="5" t="str">
        <x:f>INDEX('300题规划'!$AB$2:$AB$301,MATCH(B203,'300题规划'!$A$2:$A$301,0))</x:f>
        <x:v>待逐题验证</x:v>
      </x:c>
    </x:row>
    <x:row r="204" ht="52.5" customHeight="1">
      <x:c r="A204" s="28" t="str">
        <x:v>M-MM-003</x:v>
      </x:c>
      <x:c r="B204" s="6" t="str">
        <x:v>MM-003</x:v>
      </x:c>
      <x:c r="C204" s="6" t="str">
        <x:v>双侧外伸梁局部加载</x:v>
      </x:c>
      <x:c r="D204" s="6" t="str">
        <x:v>梁</x:v>
      </x:c>
      <x:c r="E204" s="6" t="str">
        <x:v>2D</x:v>
      </x:c>
      <x:c r="F204" s="6" t="str">
        <x:v>L2</x:v>
      </x:c>
      <x:c r="G204" s="6" t="str">
        <x:v>几何：直梁x=0至8m，支座位于x=1、6m，左右均外伸；边界：x=1m铰、x=6m竖向滚支；荷载：x=1至6m向下15kN/m，右自由端向下10kN；属性：统一M1/B1。</x:v>
      </x:c>
      <x:c r="H204" s="6" t="str">
        <x:v>双侧外伸、支承跨和局部线载需通过三条尺寸链分别定位。</x:v>
      </x:c>
      <x:c r="I204" s="6" t="str">
        <x:v>beam-overhanging-static</x:v>
      </x:c>
      <x:c r="J204" s="6" t="str">
        <x:v>beam-overhang-5m-1p5m-udl15</x:v>
      </x:c>
      <x:c r="K204" s="6" t="str">
        <x:v>由单侧外伸变为双侧外伸，并将全长线载改为支承跨线载加端力。</x:v>
      </x:c>
      <x:c r="L204" s="6" t="str">
        <x:v>基础工具；本题新增几何/属性与真值均待独立核验；材料截面代号须在本题附录定值。</x:v>
      </x:c>
      <x:c r="M204" s="6" t="str">
        <x:v>逐字段材料/截面数值及单位；完整支承自由度、荷载坐标与结果观测点</x:v>
      </x:c>
      <x:c r="N204" s="6" t="str">
        <x:v>独立规划骨架；可执行模型/数值真值待生成</x:v>
      </x:c>
      <x:c r="O204" s="30" t="n">
        <x:f>COUNTIFS('300题规划'!$C$2:$C$301,A204)</x:f>
        <x:v>1</x:v>
      </x:c>
      <x:c r="P204" s="5" t="str">
        <x:f>INDEX('300题规划'!$Y$2:$Y$301,MATCH(B204,'300题规划'!$A$2:$A$301,0))</x:f>
        <x:v>OpenSees</x:v>
      </x:c>
      <x:c r="Q204" s="5" t="str">
        <x:f>INDEX('300题规划'!$AB$2:$AB$301,MATCH(B204,'300题规划'!$A$2:$A$301,0))</x:f>
        <x:v>待逐题验证</x:v>
      </x:c>
    </x:row>
    <x:row r="205" ht="52.5" customHeight="1">
      <x:c r="A205" s="27" t="str">
        <x:v>M-MM-004</x:v>
      </x:c>
      <x:c r="B205" s="11" t="str">
        <x:v>MM-004</x:v>
      </x:c>
      <x:c r="C205" s="11" t="str">
        <x:v>双区域线载与偏心点载梁</x:v>
      </x:c>
      <x:c r="D205" s="11" t="str">
        <x:v>梁</x:v>
      </x:c>
      <x:c r="E205" s="11" t="str">
        <x:v>2D</x:v>
      </x:c>
      <x:c r="F205" s="11" t="str">
        <x:v>L3</x:v>
      </x:c>
      <x:c r="G205" s="11" t="str">
        <x:v>几何：12m直梁，在x=3、4、6、8m设分段/观测节点；边界：左铰右竖向滚支；荷载：x=0至3m向下15kN/m、x=8至12m向下9kN/m，x=4m向下50kN；属性：统一M1/B1。</x:v>
      </x:c>
      <x:c r="H205" s="11" t="str">
        <x:v>两个不相连加载区、点载与测点位置分别由图标记。</x:v>
      </x:c>
      <x:c r="I205" s="11" t="str">
        <x:v>std-beam-12m-combo-gt</x:v>
      </x:c>
      <x:c r="J205" s="11" t="str">
        <x:v>beam-complex-12m</x:v>
      </x:c>
      <x:c r="K205" s="11" t="str">
        <x:v>全跨均布改为两段不相连线载，保留偏心点载形成新的加载模式。</x:v>
      </x:c>
      <x:c r="L205" s="11" t="str">
        <x:v>基础工具；本题新增几何/属性与真值均待独立核验；材料截面代号须在本题附录定值。</x:v>
      </x:c>
      <x:c r="M205" s="11" t="str">
        <x:v>逐字段材料/截面数值及单位；完整支承自由度、荷载坐标与结果观测点</x:v>
      </x:c>
      <x:c r="N205" s="11" t="str">
        <x:v>独立规划骨架；可执行模型/数值真值待生成</x:v>
      </x:c>
      <x:c r="O205" s="30" t="n">
        <x:f>COUNTIFS('300题规划'!$C$2:$C$301,A205)</x:f>
        <x:v>1</x:v>
      </x:c>
      <x:c r="P205" s="5" t="str">
        <x:f>INDEX('300题规划'!$Y$2:$Y$301,MATCH(B205,'300题规划'!$A$2:$A$301,0))</x:f>
        <x:v>OpenSees</x:v>
      </x:c>
      <x:c r="Q205" s="5" t="str">
        <x:f>INDEX('300题规划'!$AB$2:$AB$301,MATCH(B205,'300题规划'!$A$2:$A$301,0))</x:f>
        <x:v>待逐题验证</x:v>
      </x:c>
    </x:row>
    <x:row r="206" ht="52.5" customHeight="1">
      <x:c r="A206" s="28" t="str">
        <x:v>M-MM-005</x:v>
      </x:c>
      <x:c r="B206" s="6" t="str">
        <x:v>MM-005</x:v>
      </x:c>
      <x:c r="C206" s="6" t="str">
        <x:v>跨中点载撑杆式梁</x:v>
      </x:c>
      <x:c r="D206" s="6" t="str">
        <x:v>梁</x:v>
      </x:c>
      <x:c r="E206" s="6" t="str">
        <x:v>2D</x:v>
      </x:c>
      <x:c r="F206" s="6" t="str">
        <x:v>L1</x:v>
      </x:c>
      <x:c r="G206" s="6" t="str">
        <x:v>几何：4m直梁，跨中设相连节点；边界：左端固支、右端竖向滚支；荷载：跨中向下25kN；属性：统一钢材M1/B1。</x:v>
      </x:c>
      <x:c r="H206" s="6" t="str">
        <x:v>单一荷载、单幅清晰图；须区分左固端和右滚支。</x:v>
      </x:c>
      <x:c r="I206" s="6" t="str">
        <x:v>std-beam-4m-point-mid</x:v>
      </x:c>
      <x:c r="J206" s="6" t="str">
        <x:v>beam-simple-4m-point25</x:v>
      </x:c>
      <x:c r="K206" s="6" t="str">
        <x:v>由铰滚简支变为一端固定一端竖向支承，形成超静定边界。</x:v>
      </x:c>
      <x:c r="L206" s="6" t="str">
        <x:v>基础工具；本题新增几何/属性与真值均待独立核验；材料截面代号须在本题附录定值。</x:v>
      </x:c>
      <x:c r="M206" s="6" t="str">
        <x:v>逐字段材料/截面数值及单位；完整支承自由度、荷载坐标与结果观测点</x:v>
      </x:c>
      <x:c r="N206" s="6" t="str">
        <x:v>独立规划骨架；可执行模型/数值真值待生成</x:v>
      </x:c>
      <x:c r="O206" s="30" t="n">
        <x:f>COUNTIFS('300题规划'!$C$2:$C$301,A206)</x:f>
        <x:v>1</x:v>
      </x:c>
      <x:c r="P206" s="5" t="str">
        <x:f>INDEX('300题规划'!$Y$2:$Y$301,MATCH(B206,'300题规划'!$A$2:$A$301,0))</x:f>
        <x:v>OpenSees</x:v>
      </x:c>
      <x:c r="Q206" s="5" t="str">
        <x:f>INDEX('300题规划'!$AB$2:$AB$301,MATCH(B206,'300题规划'!$A$2:$A$301,0))</x:f>
        <x:v>待逐题验证</x:v>
      </x:c>
    </x:row>
    <x:row r="207" ht="52.5" customHeight="1">
      <x:c r="A207" s="27" t="str">
        <x:v>M-MM-006</x:v>
      </x:c>
      <x:c r="B207" s="11" t="str">
        <x:v>MM-006</x:v>
      </x:c>
      <x:c r="C207" s="11" t="str">
        <x:v>三点加载简支梁及摘要</x:v>
      </x:c>
      <x:c r="D207" s="11" t="str">
        <x:v>梁</x:v>
      </x:c>
      <x:c r="E207" s="11" t="str">
        <x:v>2D</x:v>
      </x:c>
      <x:c r="F207" s="11" t="str">
        <x:v>L2</x:v>
      </x:c>
      <x:c r="G207" s="11" t="str">
        <x:v>几何：8m水平直梁，在x=2、4、6m设相连节点；边界：左铰右竖向滚支；荷载：三节点依次向下18、30、12kN，无线载；属性：统一M1/B1。</x:v>
      </x:c>
      <x:c r="H207" s="11" t="str">
        <x:v>三处点载和独立测点需与报告输出一一对应。</x:v>
      </x:c>
      <x:c r="I207" s="11" t="str">
        <x:v>beam-static-with-report</x:v>
      </x:c>
      <x:c r="J207" s="11" t="str">
        <x:v>beam-simple-8m-udl18</x:v>
      </x:c>
      <x:c r="K207" s="11" t="str">
        <x:v>将均布载替换为不对称三点载，荷载类型和弯剪分布均不同。</x:v>
      </x:c>
      <x:c r="L207" s="11" t="str">
        <x:v>基础工具；本题新增几何/属性与真值均待独立核验；材料截面代号须在本题附录定值。</x:v>
      </x:c>
      <x:c r="M207" s="11" t="str">
        <x:v>逐字段材料/截面数值及单位；完整支承自由度、荷载坐标与结果观测点</x:v>
      </x:c>
      <x:c r="N207" s="11" t="str">
        <x:v>独立规划骨架；可执行模型/数值真值待生成</x:v>
      </x:c>
      <x:c r="O207" s="30" t="n">
        <x:f>COUNTIFS('300题规划'!$C$2:$C$301,A207)</x:f>
        <x:v>1</x:v>
      </x:c>
      <x:c r="P207" s="5" t="str">
        <x:f>INDEX('300题规划'!$Y$2:$Y$301,MATCH(B207,'300题规划'!$A$2:$A$301,0))</x:f>
        <x:v>OpenSees</x:v>
      </x:c>
      <x:c r="Q207" s="5" t="str">
        <x:f>INDEX('300题规划'!$AB$2:$AB$301,MATCH(B207,'300题规划'!$A$2:$A$301,0))</x:f>
        <x:v>待逐题验证</x:v>
      </x:c>
    </x:row>
    <x:row r="208" ht="54" customHeight="1">
      <x:c r="A208" s="28" t="str">
        <x:v>M-MM-007</x:v>
      </x:c>
      <x:c r="B208" s="6" t="str">
        <x:v>MM-007</x:v>
      </x:c>
      <x:c r="C208" s="6" t="str">
        <x:v>倾斜简支梁模糊荷载补图</x:v>
      </x:c>
      <x:c r="D208" s="6" t="str">
        <x:v>梁</x:v>
      </x:c>
      <x:c r="E208" s="6" t="str">
        <x:v>2D</x:v>
      </x:c>
      <x:c r="F208" s="6" t="str">
        <x:v>L2</x:v>
      </x:c>
      <x:c r="G208" s="6" t="str">
        <x:v>几何：梁端全局XZ坐标(0,0)、(6,2)m，几何中点为(3,1)m；边界：左端铰、右端仅约束竖向；荷载：中点全局Z向-15kN；属性：统一M1/B1，局部轴按附录。</x:v>
      </x:c>
      <x:c r="H208" s="6" t="str">
        <x:v>先确认模糊的点载值，再恢复斜梁与全局竖向荷载。</x:v>
      </x:c>
      <x:c r="I208" s="6" t="str">
        <x:v>beam-simply-supported-en</x:v>
      </x:c>
      <x:c r="J208" s="6" t="str">
        <x:v>beam-simple-8m-udl15</x:v>
      </x:c>
      <x:c r="K208" s="6" t="str">
        <x:v>由水平均布梁改成倾斜梁中点力，改变几何、方向投影与加载类型。</x:v>
      </x:c>
      <x:c r="L208" s="6" t="str">
        <x:v>基础工具；本题新增几何/属性与真值均待独立核验；材料截面代号须在本题附录定值。斜杆全局荷载和局部轴适配待验证。</x:v>
      </x:c>
      <x:c r="M208" s="6" t="str">
        <x:v>逐字段材料/截面数值及单位；完整支承自由度、荷载坐标与结果观测点</x:v>
      </x:c>
      <x:c r="N208" s="6" t="str">
        <x:v>独立规划骨架；可执行模型/数值真值待生成</x:v>
      </x:c>
      <x:c r="O208" s="30" t="n">
        <x:f>COUNTIFS('300题规划'!$C$2:$C$301,A208)</x:f>
        <x:v>1</x:v>
      </x:c>
      <x:c r="P208" s="5" t="str">
        <x:f>INDEX('300题规划'!$Y$2:$Y$301,MATCH(B208,'300题规划'!$A$2:$A$301,0))</x:f>
        <x:v>OpenSees</x:v>
      </x:c>
      <x:c r="Q208" s="5" t="str">
        <x:f>INDEX('300题规划'!$AB$2:$AB$301,MATCH(B208,'300题规划'!$A$2:$A$301,0))</x:f>
        <x:v>待逐题验证</x:v>
      </x:c>
    </x:row>
    <x:row r="209" ht="52.5" customHeight="1">
      <x:c r="A209" s="27" t="str">
        <x:v>M-MM-008</x:v>
      </x:c>
      <x:c r="B209" s="11" t="str">
        <x:v>MM-008</x:v>
      </x:c>
      <x:c r="C209" s="11" t="str">
        <x:v>两个分离荷载区的简支梁</x:v>
      </x:c>
      <x:c r="D209" s="11" t="str">
        <x:v>梁</x:v>
      </x:c>
      <x:c r="E209" s="11" t="str">
        <x:v>2D</x:v>
      </x:c>
      <x:c r="F209" s="11" t="str">
        <x:v>L2</x:v>
      </x:c>
      <x:c r="G209" s="11" t="str">
        <x:v>几何：9m直梁，分界x=3、6m，中点x=4.5m；边界：左铰右竖向滚支；荷载：左三米向下12kN/m，右三米向下6kN/m，中段无载；属性：统一M1/B1。</x:v>
      </x:c>
      <x:c r="H209" s="11" t="str">
        <x:v>DXF中两个载荷区框是注释，空白中段仍为连续梁。</x:v>
      </x:c>
      <x:c r="I209" s="11" t="str">
        <x:v>无</x:v>
      </x:c>
      <x:c r="J209" s="11" t="str">
        <x:v>无</x:v>
      </x:c>
      <x:c r="K209" s="11" t="str">
        <x:v>单一中段局部载改为两个外侧分离加载区，中段转为无载。</x:v>
      </x:c>
      <x:c r="L209" s="11" t="str">
        <x:v>基础工具；本题新增几何/属性与真值均待独立核验；材料截面代号须在本题附录定值。</x:v>
      </x:c>
      <x:c r="M209" s="11" t="str">
        <x:v>逐字段材料/截面数值及单位；完整支承自由度、荷载坐标与结果观测点</x:v>
      </x:c>
      <x:c r="N209" s="11" t="str">
        <x:v>独立规划骨架；可执行模型/数值真值待生成</x:v>
      </x:c>
      <x:c r="O209" s="30" t="n">
        <x:f>COUNTIFS('300题规划'!$C$2:$C$301,A209)</x:f>
        <x:v>1</x:v>
      </x:c>
      <x:c r="P209" s="5" t="str">
        <x:f>INDEX('300题规划'!$Y$2:$Y$301,MATCH(B209,'300题规划'!$A$2:$A$301,0))</x:f>
        <x:v>OpenSees</x:v>
      </x:c>
      <x:c r="Q209" s="5" t="str">
        <x:f>INDEX('300题规划'!$AB$2:$AB$301,MATCH(B209,'300题规划'!$A$2:$A$301,0))</x:f>
        <x:v>待逐题验证</x:v>
      </x:c>
    </x:row>
    <x:row r="210" ht="54" customHeight="1">
      <x:c r="A210" s="28" t="str">
        <x:v>M-MM-009</x:v>
      </x:c>
      <x:c r="B210" s="6" t="str">
        <x:v>MM-009</x:v>
      </x:c>
      <x:c r="C210" s="6" t="str">
        <x:v>反向点力与跨内力矩梁</x:v>
      </x:c>
      <x:c r="D210" s="6" t="str">
        <x:v>梁</x:v>
      </x:c>
      <x:c r="E210" s="6" t="str">
        <x:v>2D</x:v>
      </x:c>
      <x:c r="F210" s="6" t="str">
        <x:v>L2</x:v>
      </x:c>
      <x:c r="G210" s="6" t="str">
        <x:v>几何：10m水平直梁，节点x=2、5、7m；边界：左铰右竖向滚支；荷载：x=2m向上30kN、x=7m向下45kN，x=5m施加全局Y轴+15kN·m；属性：统一M1/B1。</x:v>
      </x:c>
      <x:c r="H210" s="6" t="str">
        <x:v>两相反箭头与圆箭头量纲不同，不能合成一个竖向力。</x:v>
      </x:c>
      <x:c r="I210" s="6" t="str">
        <x:v>无</x:v>
      </x:c>
      <x:c r="J210" s="6" t="str">
        <x:v>无</x:v>
      </x:c>
      <x:c r="K210" s="6" t="str">
        <x:v>原两处同向点载改为反向点力并增加跨内节点力矩。</x:v>
      </x:c>
      <x:c r="L210" s="6" t="str">
        <x:v>基础工具；本题新增几何/属性与真值均待独立核验；材料截面代号须在本题附录定值。节点力矩输入与符号契约待验证。</x:v>
      </x:c>
      <x:c r="M210" s="6" t="str">
        <x:v>逐字段材料/截面数值及单位；完整支承自由度、荷载坐标与结果观测点</x:v>
      </x:c>
      <x:c r="N210" s="6" t="str">
        <x:v>独立规划骨架；可执行模型/数值真值待生成</x:v>
      </x:c>
      <x:c r="O210" s="30" t="n">
        <x:f>COUNTIFS('300题规划'!$C$2:$C$301,A210)</x:f>
        <x:v>1</x:v>
      </x:c>
      <x:c r="P210" s="5" t="str">
        <x:f>INDEX('300题规划'!$Y$2:$Y$301,MATCH(B210,'300题规划'!$A$2:$A$301,0))</x:f>
        <x:v>OpenSees</x:v>
      </x:c>
      <x:c r="Q210" s="5" t="str">
        <x:f>INDEX('300题规划'!$AB$2:$AB$301,MATCH(B210,'300题规划'!$A$2:$A$301,0))</x:f>
        <x:v>待逐题验证</x:v>
      </x:c>
    </x:row>
    <x:row r="211" ht="54" customHeight="1">
      <x:c r="A211" s="27" t="str">
        <x:v>M-MM-010</x:v>
      </x:c>
      <x:c r="B211" s="11" t="str">
        <x:v>MM-010</x:v>
      </x:c>
      <x:c r="C211" s="11" t="str">
        <x:v>固支梁交错属性与区域工况</x:v>
      </x:c>
      <x:c r="D211" s="11" t="str">
        <x:v>梁</x:v>
      </x:c>
      <x:c r="E211" s="11" t="str">
        <x:v>2D</x:v>
      </x:c>
      <x:c r="F211" s="11" t="str">
        <x:v>L3</x:v>
      </x:c>
      <x:c r="G211" s="11" t="str">
        <x:v>几何：8m直梁，x=2、6m分段；边界：两端固支；荷载：D仅x=2至6m向下8kN/m，L仅两端各2m向下6kN/m，组合D及D+L；属性：两端段B1、中段B2，同一材料M1。</x:v>
      </x:c>
      <x:c r="H211" s="11" t="str">
        <x:v>截面分界与加载区相互对应，需保留两个工况和各自范围。</x:v>
      </x:c>
      <x:c r="I211" s="11" t="str">
        <x:v>无</x:v>
      </x:c>
      <x:c r="J211" s="11" t="str">
        <x:v>无</x:v>
      </x:c>
      <x:c r="K211" s="11" t="str">
        <x:v>由全跨D加左半L改为中段D与两端L，同时形成中段异截面。</x:v>
      </x:c>
      <x:c r="L211" s="11" t="str">
        <x:v>基础工具；本题新增几何/属性与真值均待独立核验；材料截面代号须在本题附录定值。多组合执行契约待验证（D与D+L分别执行、保存和取值）。</x:v>
      </x:c>
      <x:c r="M211" s="11" t="str">
        <x:v>逐字段材料/截面数值及单位；完整支承自由度、荷载坐标与结果观测点；完整工况/组合系数表</x:v>
      </x:c>
      <x:c r="N211" s="11" t="str">
        <x:v>独立规划骨架；可执行模型/数值真值待生成</x:v>
      </x:c>
      <x:c r="O211" s="30" t="n">
        <x:f>COUNTIFS('300题规划'!$C$2:$C$301,A211)</x:f>
        <x:v>1</x:v>
      </x:c>
      <x:c r="P211" s="5" t="str">
        <x:f>INDEX('300题规划'!$Y$2:$Y$301,MATCH(B211,'300题规划'!$A$2:$A$301,0))</x:f>
        <x:v>OpenSees</x:v>
      </x:c>
      <x:c r="Q211" s="5" t="str">
        <x:f>INDEX('300题规划'!$AB$2:$AB$301,MATCH(B211,'300题规划'!$A$2:$A$301,0))</x:f>
        <x:v>待逐题验证</x:v>
      </x:c>
    </x:row>
    <x:row r="212" ht="52.5" customHeight="1">
      <x:c r="A212" s="28" t="str">
        <x:v>M-MM-011</x:v>
      </x:c>
      <x:c r="B212" s="6" t="str">
        <x:v>MM-011</x:v>
      </x:c>
      <x:c r="C212" s="6" t="str">
        <x:v>中间撑点加右端外伸梁</x:v>
      </x:c>
      <x:c r="D212" s="6" t="str">
        <x:v>梁</x:v>
      </x:c>
      <x:c r="E212" s="6" t="str">
        <x:v>2D</x:v>
      </x:c>
      <x:c r="F212" s="6" t="str">
        <x:v>L2</x:v>
      </x:c>
      <x:c r="G212" s="6" t="str">
        <x:v>几何：直梁x=0至7m，竖向撑点在x=4m，右侧3m外伸；边界：左固端、x=4m竖向滚支；荷载：全长向下10kN/m，右自由端向下20kN；属性：统一M1/B1。</x:v>
      </x:c>
      <x:c r="H212" s="6" t="str">
        <x:v>图上撑点不在梁末端，需识别穿过支座的连续杆件。</x:v>
      </x:c>
      <x:c r="I212" s="6" t="str">
        <x:v>无</x:v>
      </x:c>
      <x:c r="J212" s="6" t="str">
        <x:v>无</x:v>
      </x:c>
      <x:c r="K212" s="6" t="str">
        <x:v>将末端撑点移入梁内，产生固定端—撑点—自由外伸端三段受力关系。</x:v>
      </x:c>
      <x:c r="L212" s="6" t="str">
        <x:v>基础工具；本题新增几何/属性与真值均待独立核验；材料截面代号须在本题附录定值。</x:v>
      </x:c>
      <x:c r="M212" s="6" t="str">
        <x:v>逐字段材料/截面数值及单位；完整支承自由度、荷载坐标与结果观测点</x:v>
      </x:c>
      <x:c r="N212" s="6" t="str">
        <x:v>独立规划骨架；可执行模型/数值真值待生成</x:v>
      </x:c>
      <x:c r="O212" s="30" t="n">
        <x:f>COUNTIFS('300题规划'!$C$2:$C$301,A212)</x:f>
        <x:v>1</x:v>
      </x:c>
      <x:c r="P212" s="5" t="str">
        <x:f>INDEX('300题规划'!$Y$2:$Y$301,MATCH(B212,'300题规划'!$A$2:$A$301,0))</x:f>
        <x:v>OpenSees</x:v>
      </x:c>
      <x:c r="Q212" s="5" t="str">
        <x:f>INDEX('300题规划'!$AB$2:$AB$301,MATCH(B212,'300题规划'!$A$2:$A$301,0))</x:f>
        <x:v>待逐题验证</x:v>
      </x:c>
    </x:row>
    <x:row r="213" ht="54" customHeight="1">
      <x:c r="A213" s="27" t="str">
        <x:v>M-MM-012</x:v>
      </x:c>
      <x:c r="B213" s="11" t="str">
        <x:v>MM-012</x:v>
      </x:c>
      <x:c r="C213" s="11" t="str">
        <x:v>折线悬臂梁竖向端力</x:v>
      </x:c>
      <x:c r="D213" s="11" t="str">
        <x:v>梁</x:v>
      </x:c>
      <x:c r="E213" s="11" t="str">
        <x:v>2D</x:v>
      </x:c>
      <x:c r="F213" s="11" t="str">
        <x:v>L2</x:v>
      </x:c>
      <x:c r="G213" s="11" t="str">
        <x:v>几何：刚接折线梁通过XZ点(0,0)、(4,0)、(6,3)m；边界：首点固支，其余无支座；荷载：末端全局Z向-20kN；属性：统一钢材M1/B1，折点不设内铰。</x:v>
      </x:c>
      <x:c r="H213" s="11" t="str">
        <x:v>折点是刚性连接，斜段和水平段的局部轴不同。</x:v>
      </x:c>
      <x:c r="I213" s="11" t="str">
        <x:v>无</x:v>
      </x:c>
      <x:c r="J213" s="11" t="str">
        <x:v>无</x:v>
      </x:c>
      <x:c r="K213" s="11" t="str">
        <x:v>直斜梁改为水平段加斜段的折线梁，增加刚接转折和两种轴向投影。</x:v>
      </x:c>
      <x:c r="L213" s="11" t="str">
        <x:v>斜杆荷载与局部轴需验证；本题新增几何/属性与真值均待独立核验；材料截面代号须在本题附录定值。斜杆全局荷载和局部轴适配待验证。</x:v>
      </x:c>
      <x:c r="M213" s="11" t="str">
        <x:v>逐字段材料/截面数值及单位；完整支承自由度、荷载坐标与结果观测点</x:v>
      </x:c>
      <x:c r="N213" s="11" t="str">
        <x:v>独立规划骨架；可执行模型/数值真值待生成</x:v>
      </x:c>
      <x:c r="O213" s="30" t="n">
        <x:f>COUNTIFS('300题规划'!$C$2:$C$301,A213)</x:f>
        <x:v>1</x:v>
      </x:c>
      <x:c r="P213" s="5" t="str">
        <x:f>INDEX('300题规划'!$Y$2:$Y$301,MATCH(B213,'300题规划'!$A$2:$A$301,0))</x:f>
        <x:v>OpenSees</x:v>
      </x:c>
      <x:c r="Q213" s="5" t="str">
        <x:f>INDEX('300题规划'!$AB$2:$AB$301,MATCH(B213,'300题规划'!$A$2:$A$301,0))</x:f>
        <x:v>待逐题验证</x:v>
      </x:c>
    </x:row>
    <x:row r="214" ht="52.5" customHeight="1">
      <x:c r="A214" s="28" t="str">
        <x:v>M-MM-013</x:v>
      </x:c>
      <x:c r="B214" s="6" t="str">
        <x:v>MM-013</x:v>
      </x:c>
      <x:c r="C214" s="6" t="str">
        <x:v>双材料分区简支梁</x:v>
      </x:c>
      <x:c r="D214" s="6" t="str">
        <x:v>梁</x:v>
      </x:c>
      <x:c r="E214" s="6" t="str">
        <x:v>2D</x:v>
      </x:c>
      <x:c r="F214" s="6" t="str">
        <x:v>L2</x:v>
      </x:c>
      <x:c r="G214" s="6" t="str">
        <x:v>几何：9m直梁，节点x=3、4.5、6m；边界：左铰右竖向滚支；荷载：全跨向下12kN/m并在x=3m向下20kN；属性：两端3m用材料M1，中间3m用M2，统一截面B1。</x:v>
      </x:c>
      <x:c r="H214" s="6" t="str">
        <x:v>颜色是材料分区，不是三种截面；点载与材料界面重合。</x:v>
      </x:c>
      <x:c r="I214" s="6" t="str">
        <x:v>无</x:v>
      </x:c>
      <x:c r="J214" s="6" t="str">
        <x:v>无</x:v>
      </x:c>
      <x:c r="K214" s="6" t="str">
        <x:v>将三截面梁改为双材料夹心分区，并在界面增加独立点载。</x:v>
      </x:c>
      <x:c r="L214" s="6" t="str">
        <x:v>基础工具；本题新增几何/属性与真值均待独立核验；材料截面代号须在本题附录定值。</x:v>
      </x:c>
      <x:c r="M214" s="6" t="str">
        <x:v>逐字段材料/截面数值及单位；完整支承自由度、荷载坐标与结果观测点</x:v>
      </x:c>
      <x:c r="N214" s="6" t="str">
        <x:v>独立规划骨架；可执行模型/数值真值待生成</x:v>
      </x:c>
      <x:c r="O214" s="30" t="n">
        <x:f>COUNTIFS('300题规划'!$C$2:$C$301,A214)</x:f>
        <x:v>1</x:v>
      </x:c>
      <x:c r="P214" s="5" t="str">
        <x:f>INDEX('300题规划'!$Y$2:$Y$301,MATCH(B214,'300题规划'!$A$2:$A$301,0))</x:f>
        <x:v>OpenSees</x:v>
      </x:c>
      <x:c r="Q214" s="5" t="str">
        <x:f>INDEX('300题规划'!$AB$2:$AB$301,MATCH(B214,'300题规划'!$A$2:$A$301,0))</x:f>
        <x:v>待逐题验证</x:v>
      </x:c>
    </x:row>
    <x:row r="215" ht="54" customHeight="1">
      <x:c r="A215" s="27" t="str">
        <x:v>M-MM-014</x:v>
      </x:c>
      <x:c r="B215" s="11" t="str">
        <x:v>MM-014</x:v>
      </x:c>
      <x:c r="C215" s="11" t="str">
        <x:v>材料截面交错分区梁</x:v>
      </x:c>
      <x:c r="D215" s="11" t="str">
        <x:v>梁</x:v>
      </x:c>
      <x:c r="E215" s="11" t="str">
        <x:v>2D</x:v>
      </x:c>
      <x:c r="F215" s="11" t="str">
        <x:v>L3</x:v>
      </x:c>
      <x:c r="G215" s="11" t="str">
        <x:v>几何：10m直梁，分段点x=2、5、8m；边界：左铰右竖向滚支；荷载：x=0至5m向下9kN/m，x=8m施加全局Y轴+25kN·m；属性：0至2及8至10m用M1，中间用M2；0至5m用B1、5至10m用B2。</x:v>
      </x:c>
      <x:c r="H215" s="11" t="str">
        <x:v>材料、截面和加载区边界不重合，需要联合分段并保留连续。</x:v>
      </x:c>
      <x:c r="I215" s="11" t="str">
        <x:v>无</x:v>
      </x:c>
      <x:c r="J215" s="11" t="str">
        <x:v>无</x:v>
      </x:c>
      <x:c r="K215" s="11" t="str">
        <x:v>原材料界面加点力改为材料/截面交错分区及跨内力矩加载。</x:v>
      </x:c>
      <x:c r="L215" s="11" t="str">
        <x:v>基础工具；本题新增几何/属性与真值均待独立核验；材料截面代号须在本题附录定值。节点力矩输入与符号契约待验证。</x:v>
      </x:c>
      <x:c r="M215" s="11" t="str">
        <x:v>逐字段材料/截面数值及单位；完整支承自由度、荷载坐标与结果观测点</x:v>
      </x:c>
      <x:c r="N215" s="11" t="str">
        <x:v>独立规划骨架；可执行模型/数值真值待生成</x:v>
      </x:c>
      <x:c r="O215" s="30" t="n">
        <x:f>COUNTIFS('300题规划'!$C$2:$C$301,A215)</x:f>
        <x:v>1</x:v>
      </x:c>
      <x:c r="P215" s="5" t="str">
        <x:f>INDEX('300题规划'!$Y$2:$Y$301,MATCH(B215,'300题规划'!$A$2:$A$301,0))</x:f>
        <x:v>OpenSees</x:v>
      </x:c>
      <x:c r="Q215" s="5" t="str">
        <x:f>INDEX('300题规划'!$AB$2:$AB$301,MATCH(B215,'300题规划'!$A$2:$A$301,0))</x:f>
        <x:v>待逐题验证</x:v>
      </x:c>
    </x:row>
    <x:row r="216" ht="52.5" customHeight="1">
      <x:c r="A216" s="28" t="str">
        <x:v>M-MM-015</x:v>
      </x:c>
      <x:c r="B216" s="6" t="str">
        <x:v>MM-015</x:v>
      </x:c>
      <x:c r="C216" s="6" t="str">
        <x:v>左端固支双跨连续梁</x:v>
      </x:c>
      <x:c r="D216" s="6" t="str">
        <x:v>连续梁</x:v>
      </x:c>
      <x:c r="E216" s="6" t="str">
        <x:v>2D</x:v>
      </x:c>
      <x:c r="F216" s="6" t="str">
        <x:v>L2</x:v>
      </x:c>
      <x:c r="G216" s="6" t="str">
        <x:v>几何：连续梁支点x=0、5、11m，两跨连通且中支点无内铰；边界：左端固支，其余竖向滚支；荷载：全长向下12kN/m；属性：统一M1/B1。</x:v>
      </x:c>
      <x:c r="H216" s="6" t="str">
        <x:v>固定端符号与中支座连续性共同决定超静定边界。</x:v>
      </x:c>
      <x:c r="I216" s="6" t="str">
        <x:v>double-span-beam-static</x:v>
      </x:c>
      <x:c r="J216" s="6" t="str">
        <x:v>dspan-simple-5-6</x:v>
      </x:c>
      <x:c r="K216" s="6" t="str">
        <x:v>左端铰改为固支，连续梁端部弯矩不再为零。</x:v>
      </x:c>
      <x:c r="L216" s="6" t="str">
        <x:v>基础工具；本题新增几何/属性与真值均待独立核验；材料截面代号须在本题附录定值。</x:v>
      </x:c>
      <x:c r="M216" s="6" t="str">
        <x:v>逐字段材料/截面数值及单位；完整支承自由度、荷载坐标与结果观测点</x:v>
      </x:c>
      <x:c r="N216" s="6" t="str">
        <x:v>独立规划骨架；可执行模型/数值真值待生成</x:v>
      </x:c>
      <x:c r="O216" s="30" t="n">
        <x:f>COUNTIFS('300题规划'!$C$2:$C$301,A216)</x:f>
        <x:v>1</x:v>
      </x:c>
      <x:c r="P216" s="5" t="str">
        <x:f>INDEX('300题规划'!$Y$2:$Y$301,MATCH(B216,'300题规划'!$A$2:$A$301,0))</x:f>
        <x:v>OpenSees</x:v>
      </x:c>
      <x:c r="Q216" s="5" t="str">
        <x:f>INDEX('300题规划'!$AB$2:$AB$301,MATCH(B216,'300题规划'!$A$2:$A$301,0))</x:f>
        <x:v>待逐题验证</x:v>
      </x:c>
    </x:row>
    <x:row r="217" ht="52.5" customHeight="1">
      <x:c r="A217" s="27" t="str">
        <x:v>M-MM-016</x:v>
      </x:c>
      <x:c r="B217" s="11" t="str">
        <x:v>MM-016</x:v>
      </x:c>
      <x:c r="C217" s="11" t="str">
        <x:v>不等跨连续梁带尾段</x:v>
      </x:c>
      <x:c r="D217" s="11" t="str">
        <x:v>连续梁</x:v>
      </x:c>
      <x:c r="E217" s="11" t="str">
        <x:v>2D</x:v>
      </x:c>
      <x:c r="F217" s="11" t="str">
        <x:v>L3</x:v>
      </x:c>
      <x:c r="G217" s="11" t="str">
        <x:v>几何：连续梁从x=0至13m，支点x=0、4、11m，末端2m外伸；边界：左铰、其余竖向滚支；荷载：前两跨向下10kN/m，x=7.5m向下30kN，外伸段向下6kN/m；属性：统一M1/B1。</x:v>
      </x:c>
      <x:c r="H217" s="11" t="str">
        <x:v>长跨中点、第三个支座和真正自由端分别定位。</x:v>
      </x:c>
      <x:c r="I217" s="11" t="str">
        <x:v>double-span-beam-unequal</x:v>
      </x:c>
      <x:c r="J217" s="11" t="str">
        <x:v>dspan-unequal-4-7-udl10-point30</x:v>
      </x:c>
      <x:c r="K217" s="11" t="str">
        <x:v>双跨模型增加末端外伸段与独立区域荷载，改变末支点弯矩。</x:v>
      </x:c>
      <x:c r="L217" s="11" t="str">
        <x:v>基础工具；本题新增几何/属性与真值均待独立核验；材料截面代号须在本题附录定值。</x:v>
      </x:c>
      <x:c r="M217" s="11" t="str">
        <x:v>逐字段材料/截面数值及单位；完整支承自由度、荷载坐标与结果观测点</x:v>
      </x:c>
      <x:c r="N217" s="11" t="str">
        <x:v>独立规划骨架；可执行模型/数值真值待生成</x:v>
      </x:c>
      <x:c r="O217" s="30" t="n">
        <x:f>COUNTIFS('300题规划'!$C$2:$C$301,A217)</x:f>
        <x:v>1</x:v>
      </x:c>
      <x:c r="P217" s="5" t="str">
        <x:f>INDEX('300题规划'!$Y$2:$Y$301,MATCH(B217,'300题规划'!$A$2:$A$301,0))</x:f>
        <x:v>OpenSees</x:v>
      </x:c>
      <x:c r="Q217" s="5" t="str">
        <x:f>INDEX('300题规划'!$AB$2:$AB$301,MATCH(B217,'300题规划'!$A$2:$A$301,0))</x:f>
        <x:v>待逐题验证</x:v>
      </x:c>
    </x:row>
    <x:row r="218" ht="52.5" customHeight="1">
      <x:c r="A218" s="28" t="str">
        <x:v>M-MM-017</x:v>
      </x:c>
      <x:c r="B218" s="6" t="str">
        <x:v>MM-017</x:v>
      </x:c>
      <x:c r="C218" s="6" t="str">
        <x:v>末端固支三跨连续梁</x:v>
      </x:c>
      <x:c r="D218" s="6" t="str">
        <x:v>连续梁</x:v>
      </x:c>
      <x:c r="E218" s="6" t="str">
        <x:v>2D</x:v>
      </x:c>
      <x:c r="F218" s="6" t="str">
        <x:v>L2</x:v>
      </x:c>
      <x:c r="G218" s="6" t="str">
        <x:v>几何：连续梁支点x=0、4、9、13m；边界：左端铰、两个中支点竖向滚支、右端固支；荷载：全跨向下15kN/m；属性：统一M1/B1，各支点处均无内铰。</x:v>
      </x:c>
      <x:c r="H218" s="6" t="str">
        <x:v>右端固定符号不能按通常连续梁滚支替换。</x:v>
      </x:c>
      <x:c r="I218" s="6" t="str">
        <x:v>three-span-continuous-beam-static</x:v>
      </x:c>
      <x:c r="J218" s="6" t="str">
        <x:v>dspan-complex-3span</x:v>
      </x:c>
      <x:c r="K218" s="6" t="str">
        <x:v>把右端滚支改为固支，新增非零端弯矩和不同跨间分配。</x:v>
      </x:c>
      <x:c r="L218" s="6" t="str">
        <x:v>基础工具；本题新增几何/属性与真值均待独立核验；材料截面代号须在本题附录定值。</x:v>
      </x:c>
      <x:c r="M218" s="6" t="str">
        <x:v>逐字段材料/截面数值及单位；完整支承自由度、荷载坐标与结果观测点</x:v>
      </x:c>
      <x:c r="N218" s="6" t="str">
        <x:v>独立规划骨架；可执行模型/数值真值待生成</x:v>
      </x:c>
      <x:c r="O218" s="30" t="n">
        <x:f>COUNTIFS('300题规划'!$C$2:$C$301,A218)</x:f>
        <x:v>1</x:v>
      </x:c>
      <x:c r="P218" s="5" t="str">
        <x:f>INDEX('300题规划'!$Y$2:$Y$301,MATCH(B218,'300题规划'!$A$2:$A$301,0))</x:f>
        <x:v>OpenSees</x:v>
      </x:c>
      <x:c r="Q218" s="5" t="str">
        <x:f>INDEX('300题规划'!$AB$2:$AB$301,MATCH(B218,'300题规划'!$A$2:$A$301,0))</x:f>
        <x:v>待逐题验证</x:v>
      </x:c>
    </x:row>
    <x:row r="219" ht="52.5" customHeight="1">
      <x:c r="A219" s="27" t="str">
        <x:v>M-MM-018</x:v>
      </x:c>
      <x:c r="B219" s="11" t="str">
        <x:v>MM-018</x:v>
      </x:c>
      <x:c r="C219" s="11" t="str">
        <x:v>三跨两端加载中跨无载</x:v>
      </x:c>
      <x:c r="D219" s="11" t="str">
        <x:v>连续梁</x:v>
      </x:c>
      <x:c r="E219" s="11" t="str">
        <x:v>2D</x:v>
      </x:c>
      <x:c r="F219" s="11" t="str">
        <x:v>L2</x:v>
      </x:c>
      <x:c r="G219" s="11" t="str">
        <x:v>几何：连续梁跨长5、7、3m，四个支点；边界：左铰，其余竖向滚支；荷载：第一跨向下16kN/m、第三跨向下9kN/m，中跨无载；属性：统一M1/B1。</x:v>
      </x:c>
      <x:c r="H219" s="11" t="str">
        <x:v>两个非相邻加载跨和无载中跨需完整重建。</x:v>
      </x:c>
      <x:c r="I219" s="11" t="str">
        <x:v>无</x:v>
      </x:c>
      <x:c r="J219" s="11" t="str">
        <x:v>无</x:v>
      </x:c>
      <x:c r="K219" s="11" t="str">
        <x:v>由双跨单侧加载扩展为三跨两端加载，新增跨与隔跨受力。</x:v>
      </x:c>
      <x:c r="L219" s="11" t="str">
        <x:v>基础工具；本题新增几何/属性与真值均待独立核验；材料截面代号须在本题附录定值。</x:v>
      </x:c>
      <x:c r="M219" s="11" t="str">
        <x:v>逐字段材料/截面数值及单位；完整支承自由度、荷载坐标与结果观测点</x:v>
      </x:c>
      <x:c r="N219" s="11" t="str">
        <x:v>独立规划骨架；可执行模型/数值真值待生成</x:v>
      </x:c>
      <x:c r="O219" s="30" t="n">
        <x:f>COUNTIFS('300题规划'!$C$2:$C$301,A219)</x:f>
        <x:v>1</x:v>
      </x:c>
      <x:c r="P219" s="5" t="str">
        <x:f>INDEX('300题规划'!$Y$2:$Y$301,MATCH(B219,'300题规划'!$A$2:$A$301,0))</x:f>
        <x:v>OpenSees</x:v>
      </x:c>
      <x:c r="Q219" s="5" t="str">
        <x:f>INDEX('300题规划'!$AB$2:$AB$301,MATCH(B219,'300题规划'!$A$2:$A$301,0))</x:f>
        <x:v>待逐题验证</x:v>
      </x:c>
    </x:row>
    <x:row r="220" ht="52.5" customHeight="1">
      <x:c r="A220" s="28" t="str">
        <x:v>M-MM-019</x:v>
      </x:c>
      <x:c r="B220" s="6" t="str">
        <x:v>MM-019</x:v>
      </x:c>
      <x:c r="C220" s="6" t="str">
        <x:v>三跨重力与单侧上拔组合</x:v>
      </x:c>
      <x:c r="D220" s="6" t="str">
        <x:v>连续梁</x:v>
      </x:c>
      <x:c r="E220" s="6" t="str">
        <x:v>2D</x:v>
      </x:c>
      <x:c r="F220" s="6" t="str">
        <x:v>L3</x:v>
      </x:c>
      <x:c r="G220" s="6" t="str">
        <x:v>几何：连续梁跨度4、6、4m；边界：左铰、其余三个支点竖向滚支；荷载：D全跨向下8kN/m，L只中跨向下10kN/m，W只左跨向上4kN/m；组合D、D+L、D+W；属性：统一M1/B1。</x:v>
      </x:c>
      <x:c r="H220" s="6" t="str">
        <x:v>三张工况图的相反方向和作用跨不同，组合不能混并。</x:v>
      </x:c>
      <x:c r="I220" s="6" t="str">
        <x:v>无</x:v>
      </x:c>
      <x:c r="J220" s="6" t="str">
        <x:v>无</x:v>
      </x:c>
      <x:c r="K220" s="6" t="str">
        <x:v>取消两边跨同向活载，改为单侧上拔独立工况，形成方向不对称组合。</x:v>
      </x:c>
      <x:c r="L220" s="6" t="str">
        <x:v>多组合执行契约需验证；本题新增几何/属性与真值均待独立核验；材料截面代号须在本题附录定值。</x:v>
      </x:c>
      <x:c r="M220" s="6" t="str">
        <x:v>逐字段材料/截面数值及单位；完整支承自由度、荷载坐标与结果观测点；完整工况/组合系数表</x:v>
      </x:c>
      <x:c r="N220" s="6" t="str">
        <x:v>独立规划骨架；可执行模型/数值真值待生成</x:v>
      </x:c>
      <x:c r="O220" s="30" t="n">
        <x:f>COUNTIFS('300题规划'!$C$2:$C$301,A220)</x:f>
        <x:v>1</x:v>
      </x:c>
      <x:c r="P220" s="5" t="str">
        <x:f>INDEX('300题规划'!$Y$2:$Y$301,MATCH(B220,'300题规划'!$A$2:$A$301,0))</x:f>
        <x:v>OpenSees</x:v>
      </x:c>
      <x:c r="Q220" s="5" t="str">
        <x:f>INDEX('300题规划'!$AB$2:$AB$301,MATCH(B220,'300题规划'!$A$2:$A$301,0))</x:f>
        <x:v>待逐题验证</x:v>
      </x:c>
    </x:row>
    <x:row r="221" ht="52.5" customHeight="1">
      <x:c r="A221" s="27" t="str">
        <x:v>M-MM-020</x:v>
      </x:c>
      <x:c r="B221" s="11" t="str">
        <x:v>MM-020</x:v>
      </x:c>
      <x:c r="C221" s="11" t="str">
        <x:v>递增跨度连续梁加短悬段</x:v>
      </x:c>
      <x:c r="D221" s="11" t="str">
        <x:v>连续梁</x:v>
      </x:c>
      <x:c r="E221" s="11" t="str">
        <x:v>2D</x:v>
      </x:c>
      <x:c r="F221" s="11" t="str">
        <x:v>L3</x:v>
      </x:c>
      <x:c r="G221" s="11" t="str">
        <x:v>几何：支点x=0、3、8、15m，梁延伸到x=16m；边界：左铰、其余竖向滚支；荷载：三主跨分别向下8、10、12kN/m，末端1m无分布载但端部向下8kN；属性：统一M1/B1。</x:v>
      </x:c>
      <x:c r="H221" s="11" t="str">
        <x:v>三跨尺寸与最后短悬段不同，端力不能放在末支座。</x:v>
      </x:c>
      <x:c r="I221" s="11" t="str">
        <x:v>无</x:v>
      </x:c>
      <x:c r="J221" s="11" t="str">
        <x:v>无</x:v>
      </x:c>
      <x:c r="K221" s="11" t="str">
        <x:v>三跨梁增加自由尾段和端部集中力，改变最后支座负弯矩。</x:v>
      </x:c>
      <x:c r="L221" s="11" t="str">
        <x:v>基础工具；本题新增几何/属性与真值均待独立核验；材料截面代号须在本题附录定值。</x:v>
      </x:c>
      <x:c r="M221" s="11" t="str">
        <x:v>逐字段材料/截面数值及单位；完整支承自由度、荷载坐标与结果观测点</x:v>
      </x:c>
      <x:c r="N221" s="11" t="str">
        <x:v>独立规划骨架；可执行模型/数值真值待生成</x:v>
      </x:c>
      <x:c r="O221" s="30" t="n">
        <x:f>COUNTIFS('300题规划'!$C$2:$C$301,A221)</x:f>
        <x:v>1</x:v>
      </x:c>
      <x:c r="P221" s="5" t="str">
        <x:f>INDEX('300题规划'!$Y$2:$Y$301,MATCH(B221,'300题规划'!$A$2:$A$301,0))</x:f>
        <x:v>OpenSees</x:v>
      </x:c>
      <x:c r="Q221" s="5" t="str">
        <x:f>INDEX('300题规划'!$AB$2:$AB$301,MATCH(B221,'300题规划'!$A$2:$A$301,0))</x:f>
        <x:v>待逐题验证</x:v>
      </x:c>
    </x:row>
    <x:row r="222" ht="54" customHeight="1">
      <x:c r="A222" s="28" t="str">
        <x:v>M-MM-021</x:v>
      </x:c>
      <x:c r="B222" s="6" t="str">
        <x:v>MM-021</x:v>
      </x:c>
      <x:c r="C222" s="6" t="str">
        <x:v>异截面固端双跨梁图表冲突</x:v>
      </x:c>
      <x:c r="D222" s="6" t="str">
        <x:v>连续梁</x:v>
      </x:c>
      <x:c r="E222" s="6" t="str">
        <x:v>2D</x:v>
      </x:c>
      <x:c r="F222" s="6" t="str">
        <x:v>L3</x:v>
      </x:c>
      <x:c r="G222" s="6" t="str">
        <x:v>几何：两跨各6m，连续梁总长12m，首跨x=3m设与两侧杆段相连节点；边界：左固支，中点和右端竖向滚支；荷载：全梁向下10kN/m，首跨x=3m另有向下22kN集中力；属性：第一跨B1、第二跨B2，同一M1；首轮第二跨截面标记故意冲突，确认后以B2为准。</x:v>
      </x:c>
      <x:c r="H222" s="6" t="str">
        <x:v>先定位第二跨截面图表冲突；确认后恢复左固端、两跨异截面及首跨集中力节点。</x:v>
      </x:c>
      <x:c r="I222" s="6" t="str">
        <x:v>无</x:v>
      </x:c>
      <x:c r="J222" s="6" t="str">
        <x:v>无</x:v>
      </x:c>
      <x:c r="K222" s="6" t="str">
        <x:v>原铰滚异截面梁改为左固端梁，首跨中点新增22kN集中力；不同于仅改固端和两跨截面的变体。</x:v>
      </x:c>
      <x:c r="L222" s="6" t="str">
        <x:v>基础工具；本题新增几何/属性与真值均待独立核验；材料截面代号须在本题附录定值。</x:v>
      </x:c>
      <x:c r="M222" s="6" t="str">
        <x:v>逐字段材料/截面数值及单位；完整支承自由度、荷载坐标与结果观测点</x:v>
      </x:c>
      <x:c r="N222" s="6" t="str">
        <x:v>独立规划骨架；可执行模型/数值真值待生成</x:v>
      </x:c>
      <x:c r="O222" s="30" t="n">
        <x:f>COUNTIFS('300题规划'!$C$2:$C$301,A222)</x:f>
        <x:v>1</x:v>
      </x:c>
      <x:c r="P222" s="5" t="str">
        <x:f>INDEX('300题规划'!$Y$2:$Y$301,MATCH(B222,'300题规划'!$A$2:$A$301,0))</x:f>
        <x:v>OpenSees</x:v>
      </x:c>
      <x:c r="Q222" s="5" t="str">
        <x:f>INDEX('300题规划'!$AB$2:$AB$301,MATCH(B222,'300题规划'!$A$2:$A$301,0))</x:f>
        <x:v>待逐题验证</x:v>
      </x:c>
    </x:row>
    <x:row r="223" ht="52.5" customHeight="1">
      <x:c r="A223" s="27" t="str">
        <x:v>M-MM-022</x:v>
      </x:c>
      <x:c r="B223" s="11" t="str">
        <x:v>MM-022</x:v>
      </x:c>
      <x:c r="C223" s="11" t="str">
        <x:v>双侧外伸双跨连续梁</x:v>
      </x:c>
      <x:c r="D223" s="11" t="str">
        <x:v>连续梁</x:v>
      </x:c>
      <x:c r="E223" s="11" t="str">
        <x:v>2D</x:v>
      </x:c>
      <x:c r="F223" s="11" t="str">
        <x:v>L3</x:v>
      </x:c>
      <x:c r="G223" s="11" t="str">
        <x:v>几何：梁从x=-2至12m，支点x=0、5、10m；边界：x=0m铰，其余竖向滚支；荷载：全长向下8kN/m，左自由端向下6kN、右自由端向下10kN；属性：统一M1/B1。</x:v>
      </x:c>
      <x:c r="H223" s="11" t="str">
        <x:v>负坐标是左外伸端位置，三个支点与两个自由端不可混淆。</x:v>
      </x:c>
      <x:c r="I223" s="11" t="str">
        <x:v>无</x:v>
      </x:c>
      <x:c r="J223" s="11" t="str">
        <x:v>无</x:v>
      </x:c>
      <x:c r="K223" s="11" t="str">
        <x:v>单侧外伸连续梁增加左侧外伸及独立端力，形成两侧悬段。</x:v>
      </x:c>
      <x:c r="L223" s="11" t="str">
        <x:v>基础工具；本题新增几何/属性与真值均待独立核验；材料截面代号须在本题附录定值。</x:v>
      </x:c>
      <x:c r="M223" s="11" t="str">
        <x:v>逐字段材料/截面数值及单位；完整支承自由度、荷载坐标与结果观测点</x:v>
      </x:c>
      <x:c r="N223" s="11" t="str">
        <x:v>独立规划骨架；可执行模型/数值真值待生成</x:v>
      </x:c>
      <x:c r="O223" s="30" t="n">
        <x:f>COUNTIFS('300题规划'!$C$2:$C$301,A223)</x:f>
        <x:v>1</x:v>
      </x:c>
      <x:c r="P223" s="5" t="str">
        <x:f>INDEX('300题规划'!$Y$2:$Y$301,MATCH(B223,'300题规划'!$A$2:$A$301,0))</x:f>
        <x:v>OpenSees</x:v>
      </x:c>
      <x:c r="Q223" s="5" t="str">
        <x:f>INDEX('300题规划'!$AB$2:$AB$301,MATCH(B223,'300题规划'!$A$2:$A$301,0))</x:f>
        <x:v>待逐题验证</x:v>
      </x:c>
    </x:row>
    <x:row r="224" ht="52.5" customHeight="1">
      <x:c r="A224" s="28" t="str">
        <x:v>M-MM-023</x:v>
      </x:c>
      <x:c r="B224" s="6" t="str">
        <x:v>MM-023</x:v>
      </x:c>
      <x:c r="C224" s="6" t="str">
        <x:v>双跨梁一端固定与支座点力</x:v>
      </x:c>
      <x:c r="D224" s="6" t="str">
        <x:v>连续梁</x:v>
      </x:c>
      <x:c r="E224" s="6" t="str">
        <x:v>2D</x:v>
      </x:c>
      <x:c r="F224" s="6" t="str">
        <x:v>L2</x:v>
      </x:c>
      <x:c r="G224" s="6" t="str">
        <x:v>几何：连续梁两跨4、6m；边界：左端铰、中支点竖向滚支、右端固支；荷载：中支点向下30kN，长跨中点向下20kN；属性：统一M1/B1。</x:v>
      </x:c>
      <x:c r="H224" s="6" t="str">
        <x:v>支座点力和跨内点力位置相近但作用不同，末端固定需保留。</x:v>
      </x:c>
      <x:c r="I224" s="6" t="str">
        <x:v>无</x:v>
      </x:c>
      <x:c r="J224" s="6" t="str">
        <x:v>无</x:v>
      </x:c>
      <x:c r="K224" s="6" t="str">
        <x:v>将末端滚支改为固支，支座荷载与内力分配的关系改变。</x:v>
      </x:c>
      <x:c r="L224" s="6" t="str">
        <x:v>基础工具；本题新增几何/属性与真值均待独立核验；材料截面代号须在本题附录定值。</x:v>
      </x:c>
      <x:c r="M224" s="6" t="str">
        <x:v>逐字段材料/截面数值及单位；完整支承自由度、荷载坐标与结果观测点</x:v>
      </x:c>
      <x:c r="N224" s="6" t="str">
        <x:v>独立规划骨架；可执行模型/数值真值待生成</x:v>
      </x:c>
      <x:c r="O224" s="30" t="n">
        <x:f>COUNTIFS('300题规划'!$C$2:$C$301,A224)</x:f>
        <x:v>1</x:v>
      </x:c>
      <x:c r="P224" s="5" t="str">
        <x:f>INDEX('300题规划'!$Y$2:$Y$301,MATCH(B224,'300题规划'!$A$2:$A$301,0))</x:f>
        <x:v>OpenSees</x:v>
      </x:c>
      <x:c r="Q224" s="5" t="str">
        <x:f>INDEX('300题规划'!$AB$2:$AB$301,MATCH(B224,'300题规划'!$A$2:$A$301,0))</x:f>
        <x:v>待逐题验证</x:v>
      </x:c>
    </x:row>
    <x:row r="225" ht="52.5" customHeight="1">
      <x:c r="A225" s="27" t="str">
        <x:v>M-MM-024</x:v>
      </x:c>
      <x:c r="B225" s="11" t="str">
        <x:v>MM-024</x:v>
      </x:c>
      <x:c r="C225" s="11" t="str">
        <x:v>四跨分区上拔连续梁</x:v>
      </x:c>
      <x:c r="D225" s="11" t="str">
        <x:v>连续梁</x:v>
      </x:c>
      <x:c r="E225" s="11" t="str">
        <x:v>2D</x:v>
      </x:c>
      <x:c r="F225" s="11" t="str">
        <x:v>L3</x:v>
      </x:c>
      <x:c r="G225" s="11" t="str">
        <x:v>几何：连续梁跨度5、4、6、3m；边界：左铰、其余四个支点竖向滚支；荷载：D全跨向下8kN/m，W仅第二与第四跨向上6kN/m；组合D、D+W；属性：统一M1/B1。</x:v>
      </x:c>
      <x:c r="H225" s="11" t="str">
        <x:v>两个不相邻风区在四跨图中定位，组合保留符号。</x:v>
      </x:c>
      <x:c r="I225" s="11" t="str">
        <x:v>无</x:v>
      </x:c>
      <x:c r="J225" s="11" t="str">
        <x:v>无</x:v>
      </x:c>
      <x:c r="K225" s="11" t="str">
        <x:v>三跨单一上拔区改为四跨两处上拔区，拓扑和加载模式同时改变。</x:v>
      </x:c>
      <x:c r="L225" s="11" t="str">
        <x:v>多组合执行契约需验证；本题新增几何/属性与真值均待独立核验；材料截面代号须在本题附录定值。</x:v>
      </x:c>
      <x:c r="M225" s="11" t="str">
        <x:v>逐字段材料/截面数值及单位；完整支承自由度、荷载坐标与结果观测点；完整工况/组合系数表</x:v>
      </x:c>
      <x:c r="N225" s="11" t="str">
        <x:v>独立规划骨架；可执行模型/数值真值待生成</x:v>
      </x:c>
      <x:c r="O225" s="30" t="n">
        <x:f>COUNTIFS('300题规划'!$C$2:$C$301,A225)</x:f>
        <x:v>1</x:v>
      </x:c>
      <x:c r="P225" s="5" t="str">
        <x:f>INDEX('300题规划'!$Y$2:$Y$301,MATCH(B225,'300题规划'!$A$2:$A$301,0))</x:f>
        <x:v>OpenSees</x:v>
      </x:c>
      <x:c r="Q225" s="5" t="str">
        <x:f>INDEX('300题规划'!$AB$2:$AB$301,MATCH(B225,'300题规划'!$A$2:$A$301,0))</x:f>
        <x:v>待逐题验证</x:v>
      </x:c>
    </x:row>
    <x:row r="226" ht="54" customHeight="1">
      <x:c r="A226" s="28" t="str">
        <x:v>M-MM-025</x:v>
      </x:c>
      <x:c r="B226" s="6" t="str">
        <x:v>MM-025</x:v>
      </x:c>
      <x:c r="C226" s="6" t="str">
        <x:v>两端固定双跨梁中支座力矩</x:v>
      </x:c>
      <x:c r="D226" s="6" t="str">
        <x:v>连续梁</x:v>
      </x:c>
      <x:c r="E226" s="6" t="str">
        <x:v>2D</x:v>
      </x:c>
      <x:c r="F226" s="6" t="str">
        <x:v>L3</x:v>
      </x:c>
      <x:c r="G226" s="6" t="str">
        <x:v>几何：两跨各5m的连续梁；边界：左右两端均固定，中支点仅竖向滚支；荷载：全跨向下6kN/m，在中支点施加全局Y轴+20kN·m；属性：统一M1/B1，中支点无内铰。</x:v>
      </x:c>
      <x:c r="H226" s="6" t="str">
        <x:v>力矩作用在旋转自由的中支点，两端的转角则被约束。</x:v>
      </x:c>
      <x:c r="I226" s="6" t="str">
        <x:v>无</x:v>
      </x:c>
      <x:c r="J226" s="6" t="str">
        <x:v>无</x:v>
      </x:c>
      <x:c r="K226" s="6" t="str">
        <x:v>把末端节点力矩移到连续中支点，同时改为双固端边界。</x:v>
      </x:c>
      <x:c r="L226" s="6" t="str">
        <x:v>节点力矩输入需验证；本题新增几何/属性与真值均待独立核验；材料截面代号须在本题附录定值。节点力矩输入与符号契约待验证。</x:v>
      </x:c>
      <x:c r="M226" s="6" t="str">
        <x:v>逐字段材料/截面数值及单位；完整支承自由度、荷载坐标与结果观测点</x:v>
      </x:c>
      <x:c r="N226" s="6" t="str">
        <x:v>独立规划骨架；可执行模型/数值真值待生成</x:v>
      </x:c>
      <x:c r="O226" s="30" t="n">
        <x:f>COUNTIFS('300题规划'!$C$2:$C$301,A226)</x:f>
        <x:v>1</x:v>
      </x:c>
      <x:c r="P226" s="5" t="str">
        <x:f>INDEX('300题规划'!$Y$2:$Y$301,MATCH(B226,'300题规划'!$A$2:$A$301,0))</x:f>
        <x:v>OpenSees</x:v>
      </x:c>
      <x:c r="Q226" s="5" t="str">
        <x:f>INDEX('300题规划'!$AB$2:$AB$301,MATCH(B226,'300题规划'!$A$2:$A$301,0))</x:f>
        <x:v>待逐题验证</x:v>
      </x:c>
    </x:row>
    <x:row r="227" ht="52.5" customHeight="1">
      <x:c r="A227" s="27" t="str">
        <x:v>M-MM-026</x:v>
      </x:c>
      <x:c r="B227" s="11" t="str">
        <x:v>MM-026</x:v>
      </x:c>
      <x:c r="C227" s="11" t="str">
        <x:v>五跨异截面分跨工况梁</x:v>
      </x:c>
      <x:c r="D227" s="11" t="str">
        <x:v>连续梁</x:v>
      </x:c>
      <x:c r="E227" s="11" t="str">
        <x:v>2D</x:v>
      </x:c>
      <x:c r="F227" s="11" t="str">
        <x:v>L3</x:v>
      </x:c>
      <x:c r="G227" s="11" t="str">
        <x:v>几何：连续梁跨度4、6、5、4、3m；边界：左铰、其余五个支点竖向滚支；荷载：D全跨向下7kN/m，L仅第二第四跨向下10kN/m；组合D、D+L；属性：中间三跨B2，首末跨B1，同一M1。</x:v>
      </x:c>
      <x:c r="H227" s="11" t="str">
        <x:v>五跨编号与非连续荷载区、三跨连续属性组分别对应。</x:v>
      </x:c>
      <x:c r="I227" s="11" t="str">
        <x:v>无</x:v>
      </x:c>
      <x:c r="J227" s="11" t="str">
        <x:v>无</x:v>
      </x:c>
      <x:c r="K227" s="11" t="str">
        <x:v>四跨梁增加第五跨，截面组由中间两跨改为三跨。</x:v>
      </x:c>
      <x:c r="L227" s="11" t="str">
        <x:v>多组合执行契约需验证；本题新增几何/属性与真值均待独立核验；材料截面代号须在本题附录定值。</x:v>
      </x:c>
      <x:c r="M227" s="11" t="str">
        <x:v>逐字段材料/截面数值及单位；完整支承自由度、荷载坐标与结果观测点；完整工况/组合系数表</x:v>
      </x:c>
      <x:c r="N227" s="11" t="str">
        <x:v>独立规划骨架；可执行模型/数值真值待生成</x:v>
      </x:c>
      <x:c r="O227" s="30" t="n">
        <x:f>COUNTIFS('300题规划'!$C$2:$C$301,A227)</x:f>
        <x:v>1</x:v>
      </x:c>
      <x:c r="P227" s="5" t="str">
        <x:f>INDEX('300题规划'!$Y$2:$Y$301,MATCH(B227,'300题规划'!$A$2:$A$301,0))</x:f>
        <x:v>OpenSees</x:v>
      </x:c>
      <x:c r="Q227" s="5" t="str">
        <x:f>INDEX('300题规划'!$AB$2:$AB$301,MATCH(B227,'300题规划'!$A$2:$A$301,0))</x:f>
        <x:v>待逐题验证</x:v>
      </x:c>
    </x:row>
    <x:row r="228" ht="54" customHeight="1">
      <x:c r="A228" s="28" t="str">
        <x:v>M-MM-027</x:v>
      </x:c>
      <x:c r="B228" s="6" t="str">
        <x:v>MM-027</x:v>
      </x:c>
      <x:c r="C228" s="6" t="str">
        <x:v>六节间Pratt桁架读图</x:v>
      </x:c>
      <x:c r="D228" s="6" t="str">
        <x:v>桁架</x:v>
      </x:c>
      <x:c r="E228" s="6" t="str">
        <x:v>2D</x:v>
      </x:c>
      <x:c r="F228" s="6" t="str">
        <x:v>L2</x:v>
      </x:c>
      <x:c r="G228" s="6" t="str">
        <x:v>几何：XZ面下弦x=0、2.5、5、7.5、10、12.5、15m且z=0，上弦同x且z=2.5m；各弦相邻节点连接，七根竖杆，六根斜杆朝跨中倾斜；边界：左下铰、右下竖向滚支；荷载：五个内部上弦节点各向下10kN；属性：全部杆仅承轴力，统一M1/A1。</x:v>
      </x:c>
      <x:c r="H228" s="6" t="str">
        <x:v>六节间和斜杆朝向由图决定，不能照抄五节间模板。</x:v>
      </x:c>
      <x:c r="I228" s="6" t="str">
        <x:v>truss-pratt-static</x:v>
      </x:c>
      <x:c r="J228" s="6" t="str">
        <x:v>truss-pratt-15m-top10</x:v>
      </x:c>
      <x:c r="K228" s="6" t="str">
        <x:v>五节间改六节间并相应改变腹杆与上弦加载节点数量。</x:v>
      </x:c>
      <x:c r="L228" s="6" t="str">
        <x:v>基础工具；本题新增几何/属性与真值均待独立核验；材料截面代号须在本题附录定值。</x:v>
      </x:c>
      <x:c r="M228" s="6" t="str">
        <x:v>逐字段材料/截面数值及单位；完整支承自由度、荷载坐标与结果观测点；逐杆连接表与稳定性复核</x:v>
      </x:c>
      <x:c r="N228" s="6" t="str">
        <x:v>独立规划骨架；可执行模型/数值真值待生成</x:v>
      </x:c>
      <x:c r="O228" s="30" t="n">
        <x:f>COUNTIFS('300题规划'!$C$2:$C$301,A228)</x:f>
        <x:v>1</x:v>
      </x:c>
      <x:c r="P228" s="5" t="str">
        <x:f>INDEX('300题规划'!$Y$2:$Y$301,MATCH(B228,'300题规划'!$A$2:$A$301,0))</x:f>
        <x:v>OpenSees</x:v>
      </x:c>
      <x:c r="Q228" s="5" t="str">
        <x:f>INDEX('300题规划'!$AB$2:$AB$301,MATCH(B228,'300题规划'!$A$2:$A$301,0))</x:f>
        <x:v>待逐题验证</x:v>
      </x:c>
    </x:row>
    <x:row r="229" ht="54" customHeight="1">
      <x:c r="A229" s="27" t="str">
        <x:v>M-MM-028</x:v>
      </x:c>
      <x:c r="B229" s="11" t="str">
        <x:v>MM-028</x:v>
      </x:c>
      <x:c r="C229" s="11" t="str">
        <x:v>非对称梯形桁架右半偏载</x:v>
      </x:c>
      <x:c r="D229" s="11" t="str">
        <x:v>桁架</x:v>
      </x:c>
      <x:c r="E229" s="11" t="str">
        <x:v>2D</x:v>
      </x:c>
      <x:c r="F229" s="11" t="str">
        <x:v>L3</x:v>
      </x:c>
      <x:c r="G229" s="11" t="str">
        <x:v>几何：上下弦各7节点，x=0、3、6、9、12、15、18m；下弦z=0，上弦z依次1.6、2、2.4、2.8、3、2.4、1.6m；两弦相邻连接、七竖杆、各格下左至上右斜杆；边界：左下铰右下滚支；荷载：下弦x=9、12、15m各向下15kN；属性：轴力杆M1/A1。</x:v>
      </x:c>
      <x:c r="H229" s="11" t="str">
        <x:v>非对称高度表和右半下弦载荷需与施工图节点标签对应。</x:v>
      </x:c>
      <x:c r="I229" s="11" t="str">
        <x:v>truss-trapezoidal-static</x:v>
      </x:c>
      <x:c r="J229" s="11" t="str">
        <x:v>truss-complex-trap</x:v>
      </x:c>
      <x:c r="K229" s="11" t="str">
        <x:v>对称梯形改为峰值偏右的上弦轮廓，荷载收缩为右半下弦偏载。</x:v>
      </x:c>
      <x:c r="L229" s="11" t="str">
        <x:v>基础工具；本题新增几何/属性与真值均待独立核验；材料截面代号须在本题附录定值。</x:v>
      </x:c>
      <x:c r="M229" s="11" t="str">
        <x:v>逐字段材料/截面数值及单位；完整支承自由度、荷载坐标与结果观测点；逐杆连接表与稳定性复核</x:v>
      </x:c>
      <x:c r="N229" s="11" t="str">
        <x:v>独立规划骨架；可执行模型/数值真值待生成</x:v>
      </x:c>
      <x:c r="O229" s="30" t="n">
        <x:f>COUNTIFS('300题规划'!$C$2:$C$301,A229)</x:f>
        <x:v>1</x:v>
      </x:c>
      <x:c r="P229" s="5" t="str">
        <x:f>INDEX('300题规划'!$Y$2:$Y$301,MATCH(B229,'300题规划'!$A$2:$A$301,0))</x:f>
        <x:v>OpenSees</x:v>
      </x:c>
      <x:c r="Q229" s="5" t="str">
        <x:f>INDEX('300题规划'!$AB$2:$AB$301,MATCH(B229,'300题规划'!$A$2:$A$301,0))</x:f>
        <x:v>待逐题验证</x:v>
      </x:c>
    </x:row>
    <x:row r="230" ht="54" customHeight="1">
      <x:c r="A230" s="28" t="str">
        <x:v>M-MM-029</x:v>
      </x:c>
      <x:c r="B230" s="6" t="str">
        <x:v>MM-029</x:v>
      </x:c>
      <x:c r="C230" s="6" t="str">
        <x:v>七节点三角屋架</x:v>
      </x:c>
      <x:c r="D230" s="6" t="str">
        <x:v>桁架</x:v>
      </x:c>
      <x:c r="E230" s="6" t="str">
        <x:v>2D</x:v>
      </x:c>
      <x:c r="F230" s="6" t="str">
        <x:v>L2</x:v>
      </x:c>
      <x:c r="G230" s="6" t="str">
        <x:v>几何：下弦节点(0,0)、(4,0)、(8,0)、(12,0)m，上部节点(4,2)、(6,3)、(8,2)m；下弦三杆、上轮廓四杆，另连(4,0)-(4,2)、(8,0)-(8,2)、(4,0)-(6,3)、(8,0)-(6,3)；边界：两端铰滚；荷载：三个上部节点各向下20kN；属性：轴力杆M1/A1。</x:v>
      </x:c>
      <x:c r="H230" s="6" t="str">
        <x:v>七节点十一杆必须逐边恢复，两个斜腹杆汇入屋脊。</x:v>
      </x:c>
      <x:c r="I230" s="6" t="str">
        <x:v>truss-triangle-static</x:v>
      </x:c>
      <x:c r="J230" s="6" t="str">
        <x:v>truss-triangle-12m-3m-20k</x:v>
      </x:c>
      <x:c r="K230" s="6" t="str">
        <x:v>原六节点特殊连杆桁架改为七节点十一杆屋架，连通关系实质变化。</x:v>
      </x:c>
      <x:c r="L230" s="6" t="str">
        <x:v>基础工具；本题新增几何/属性与真值均待独立核验；材料截面代号须在本题附录定值。</x:v>
      </x:c>
      <x:c r="M230" s="6" t="str">
        <x:v>逐字段材料/截面数值及单位；完整支承自由度、荷载坐标与结果观测点；逐杆连接表与稳定性复核</x:v>
      </x:c>
      <x:c r="N230" s="6" t="str">
        <x:v>独立规划骨架；可执行模型/数值真值待生成</x:v>
      </x:c>
      <x:c r="O230" s="30" t="n">
        <x:f>COUNTIFS('300题规划'!$C$2:$C$301,A230)</x:f>
        <x:v>1</x:v>
      </x:c>
      <x:c r="P230" s="5" t="str">
        <x:f>INDEX('300题规划'!$Y$2:$Y$301,MATCH(B230,'300题规划'!$A$2:$A$301,0))</x:f>
        <x:v>OpenSees</x:v>
      </x:c>
      <x:c r="Q230" s="5" t="str">
        <x:f>INDEX('300题规划'!$AB$2:$AB$301,MATCH(B230,'300题规划'!$A$2:$A$301,0))</x:f>
        <x:v>待逐题验证</x:v>
      </x:c>
    </x:row>
    <x:row r="231" ht="54" customHeight="1">
      <x:c r="A231" s="27" t="str">
        <x:v>M-MM-030</x:v>
      </x:c>
      <x:c r="B231" s="11" t="str">
        <x:v>MM-030</x:v>
      </x:c>
      <x:c r="C231" s="11" t="str">
        <x:v>无竖杆交错节点Warren桁架</x:v>
      </x:c>
      <x:c r="D231" s="11" t="str">
        <x:v>桁架</x:v>
      </x:c>
      <x:c r="E231" s="11" t="str">
        <x:v>2D</x:v>
      </x:c>
      <x:c r="F231" s="11" t="str">
        <x:v>L2</x:v>
      </x:c>
      <x:c r="G231" s="11" t="str">
        <x:v>几何：下弦7节点x=0至12m每2m一个、z=0；上弦6节点x=1、3、5、7、9、11m、z=2m；上下弦各自相邻连接，每个上节点连相邻两个下节点，无竖杆；边界：左右下端铰滚；荷载：六上节点各向下8kN；属性：轴力杆M1/A1。</x:v>
      </x:c>
      <x:c r="H231" s="11" t="str">
        <x:v>上下节点错开半节间，不能把不存在的竖杆补上。</x:v>
      </x:c>
      <x:c r="I231" s="11" t="str">
        <x:v>truss-warren-en</x:v>
      </x:c>
      <x:c r="J231" s="11" t="str">
        <x:v>truss-warren-12m-2m-8k</x:v>
      </x:c>
      <x:c r="K231" s="11" t="str">
        <x:v>带竖杆同列节点改成无竖杆交错节点，荷载转移到上弦。</x:v>
      </x:c>
      <x:c r="L231" s="11" t="str">
        <x:v>基础工具；本题新增几何/属性与真值均待独立核验；材料截面代号须在本题附录定值。</x:v>
      </x:c>
      <x:c r="M231" s="11" t="str">
        <x:v>逐字段材料/截面数值及单位；完整支承自由度、荷载坐标与结果观测点；逐杆连接表与稳定性复核</x:v>
      </x:c>
      <x:c r="N231" s="11" t="str">
        <x:v>独立规划骨架；可执行模型/数值真值待生成</x:v>
      </x:c>
      <x:c r="O231" s="30" t="n">
        <x:f>COUNTIFS('300题规划'!$C$2:$C$301,A231)</x:f>
        <x:v>1</x:v>
      </x:c>
      <x:c r="P231" s="5" t="str">
        <x:f>INDEX('300题规划'!$Y$2:$Y$301,MATCH(B231,'300题规划'!$A$2:$A$301,0))</x:f>
        <x:v>OpenSees</x:v>
      </x:c>
      <x:c r="Q231" s="5" t="str">
        <x:f>INDEX('300题规划'!$AB$2:$AB$301,MATCH(B231,'300题规划'!$A$2:$A$301,0))</x:f>
        <x:v>待逐题验证</x:v>
      </x:c>
    </x:row>
    <x:row r="232" ht="54" customHeight="1">
      <x:c r="A232" s="28" t="str">
        <x:v>M-MM-031</x:v>
      </x:c>
      <x:c r="B232" s="6" t="str">
        <x:v>MM-031</x:v>
      </x:c>
      <x:c r="C232" s="6" t="str">
        <x:v>双斜腹杆平行弦屋架</x:v>
      </x:c>
      <x:c r="D232" s="6" t="str">
        <x:v>桁架</x:v>
      </x:c>
      <x:c r="E232" s="6" t="str">
        <x:v>2D</x:v>
      </x:c>
      <x:c r="F232" s="6" t="str">
        <x:v>L3</x:v>
      </x:c>
      <x:c r="G232" s="6" t="str">
        <x:v>几何：上下弦节点x=0至18m每3m一个，下弦z=0、上弦z=3m；上下弦相邻连接，七竖杆，每格两根X斜杆且交叉不连接；边界：左右下端铰滚；荷载：内部五上节点各向下12kN；属性：轴力杆，弦杆A1、腹杆A2，同一M1。</x:v>
      </x:c>
      <x:c r="H232" s="6" t="str">
        <x:v>交叉不连接与弦腹杆分组需从图例和截面表联合恢复。</x:v>
      </x:c>
      <x:c r="I232" s="6" t="str">
        <x:v>truss-roof-en</x:v>
      </x:c>
      <x:c r="J232" s="6" t="str">
        <x:v>truss-roof-18m-3m-12k</x:v>
      </x:c>
      <x:c r="K232" s="6" t="str">
        <x:v>交替单斜杆改为每格双斜杆，形成不同冗余度和截面分组。</x:v>
      </x:c>
      <x:c r="L232" s="6" t="str">
        <x:v>基础工具；本题新增几何/属性与真值均待独立核验；材料截面代号须在本题附录定值。</x:v>
      </x:c>
      <x:c r="M232" s="6" t="str">
        <x:v>逐字段材料/截面数值及单位；完整支承自由度、荷载坐标与结果观测点；逐杆连接表与稳定性复核</x:v>
      </x:c>
      <x:c r="N232" s="6" t="str">
        <x:v>独立规划骨架；可执行模型/数值真值待生成</x:v>
      </x:c>
      <x:c r="O232" s="30" t="n">
        <x:f>COUNTIFS('300题规划'!$C$2:$C$301,A232)</x:f>
        <x:v>1</x:v>
      </x:c>
      <x:c r="P232" s="5" t="str">
        <x:f>INDEX('300题规划'!$Y$2:$Y$301,MATCH(B232,'300题规划'!$A$2:$A$301,0))</x:f>
        <x:v>OpenSees</x:v>
      </x:c>
      <x:c r="Q232" s="5" t="str">
        <x:f>INDEX('300题规划'!$AB$2:$AB$301,MATCH(B232,'300题规划'!$A$2:$A$301,0))</x:f>
        <x:v>待逐题验证</x:v>
      </x:c>
    </x:row>
    <x:row r="233" ht="54" customHeight="1">
      <x:c r="A233" s="27" t="str">
        <x:v>M-MM-032</x:v>
      </x:c>
      <x:c r="B233" s="11" t="str">
        <x:v>MM-032</x:v>
      </x:c>
      <x:c r="C233" s="11" t="str">
        <x:v>偏置屋脊桁架缺尺寸补图</x:v>
      </x:c>
      <x:c r="D233" s="11" t="str">
        <x:v>桁架</x:v>
      </x:c>
      <x:c r="E233" s="11" t="str">
        <x:v>2D</x:v>
      </x:c>
      <x:c r="F233" s="11" t="str">
        <x:v>L3</x:v>
      </x:c>
      <x:c r="G233" s="11" t="str">
        <x:v>几何：下弦x=0、3、6、9、12、15m且z=0；上部节点(3,1.25)、(6,2.5)、(9,5/3)、(12,5/6)m；上下轮廓顺次连接，四竖杆及下弦x=3至上x=6、下6至上9、下9至上12三斜杆；边界：左右下端铰滚；荷载：四上部节点各向下10kN；属性：轴力杆M1/A1。</x:v>
      </x:c>
      <x:c r="H233" s="11" t="str">
        <x:v>先由竖杆和尺寸链推导屋脊横坐标，再澄清唯一缺失屋脊高度；不按像素比例补猜。</x:v>
      </x:c>
      <x:c r="I233" s="11" t="str">
        <x:v>std-truss-tri-en</x:v>
      </x:c>
      <x:c r="J233" s="11" t="str">
        <x:v>truss-triangle-15m-2p5-10k</x:v>
      </x:c>
      <x:c r="K233" s="11" t="str">
        <x:v>居中顶点改为偏置屋脊，重布上轮廓和腹杆连接。</x:v>
      </x:c>
      <x:c r="L233" s="11" t="str">
        <x:v>基础工具；本题新增几何/属性与真值均待独立核验；材料截面代号须在本题附录定值。</x:v>
      </x:c>
      <x:c r="M233" s="11" t="str">
        <x:v>逐字段材料/截面数值及单位；完整支承自由度、荷载坐标与结果观测点；逐杆连接表与稳定性复核</x:v>
      </x:c>
      <x:c r="N233" s="11" t="str">
        <x:v>独立规划骨架；可执行模型/数值真值待生成</x:v>
      </x:c>
      <x:c r="O233" s="30" t="n">
        <x:f>COUNTIFS('300题规划'!$C$2:$C$301,A233)</x:f>
        <x:v>1</x:v>
      </x:c>
      <x:c r="P233" s="5" t="str">
        <x:f>INDEX('300题规划'!$Y$2:$Y$301,MATCH(B233,'300题规划'!$A$2:$A$301,0))</x:f>
        <x:v>OpenSees</x:v>
      </x:c>
      <x:c r="Q233" s="5" t="str">
        <x:f>INDEX('300题规划'!$AB$2:$AB$301,MATCH(B233,'300题规划'!$A$2:$A$301,0))</x:f>
        <x:v>待逐题验证</x:v>
      </x:c>
    </x:row>
    <x:row r="234" ht="54" customHeight="1">
      <x:c r="A234" s="28" t="str">
        <x:v>M-MM-033</x:v>
      </x:c>
      <x:c r="B234" s="6" t="str">
        <x:v>MM-033</x:v>
      </x:c>
      <x:c r="C234" s="6" t="str">
        <x:v>阶梯上弦平行底桁架</x:v>
      </x:c>
      <x:c r="D234" s="6" t="str">
        <x:v>桁架</x:v>
      </x:c>
      <x:c r="E234" s="6" t="str">
        <x:v>2D</x:v>
      </x:c>
      <x:c r="F234" s="6" t="str">
        <x:v>L3</x:v>
      </x:c>
      <x:c r="G234" s="6" t="str">
        <x:v>几何：上下弦x=0、3、6、9、12、15m，下弦z=0，上弦z=2、2、3、3、2、2m；弦杆顺接，六竖杆，每格下左至上右斜杆；边界：左右下端铰滚；荷载：下弦x=3、6、9、12m各向下10kN；属性：轴力杆M1/A1。</x:v>
      </x:c>
      <x:c r="H234" s="6" t="str">
        <x:v>上弦阶梯节点标高不同，DXF共线合并不能越过折点。</x:v>
      </x:c>
      <x:c r="I234" s="6" t="str">
        <x:v>re-dxf-truss-simple-tri</x:v>
      </x:c>
      <x:c r="J234" s="6" t="str">
        <x:v>truss-simple-tri</x:v>
      </x:c>
      <x:c r="K234" s="6" t="str">
        <x:v>等高平行弦改为阶梯上弦，改变构件角度和力流。</x:v>
      </x:c>
      <x:c r="L234" s="6" t="str">
        <x:v>基础工具；本题新增几何/属性与真值均待独立核验；材料截面代号须在本题附录定值。</x:v>
      </x:c>
      <x:c r="M234" s="6" t="str">
        <x:v>逐字段材料/截面数值及单位；完整支承自由度、荷载坐标与结果观测点；逐杆连接表与稳定性复核</x:v>
      </x:c>
      <x:c r="N234" s="6" t="str">
        <x:v>独立规划骨架；可执行模型/数值真值待生成</x:v>
      </x:c>
      <x:c r="O234" s="30" t="n">
        <x:f>COUNTIFS('300题规划'!$C$2:$C$301,A234)</x:f>
        <x:v>1</x:v>
      </x:c>
      <x:c r="P234" s="5" t="str">
        <x:f>INDEX('300题规划'!$Y$2:$Y$301,MATCH(B234,'300题规划'!$A$2:$A$301,0))</x:f>
        <x:v>OpenSees</x:v>
      </x:c>
      <x:c r="Q234" s="5" t="str">
        <x:f>INDEX('300题规划'!$AB$2:$AB$301,MATCH(B234,'300题规划'!$A$2:$A$301,0))</x:f>
        <x:v>待逐题验证</x:v>
      </x:c>
    </x:row>
    <x:row r="235" ht="54" customHeight="1">
      <x:c r="A235" s="27" t="str">
        <x:v>M-MM-034</x:v>
      </x:c>
      <x:c r="B235" s="11" t="str">
        <x:v>MM-034</x:v>
      </x:c>
      <x:c r="C235" s="11" t="str">
        <x:v>中心汇交腹杆三角屋架</x:v>
      </x:c>
      <x:c r="D235" s="11" t="str">
        <x:v>桁架</x:v>
      </x:c>
      <x:c r="E235" s="11" t="str">
        <x:v>2D</x:v>
      </x:c>
      <x:c r="F235" s="11" t="str">
        <x:v>L2</x:v>
      </x:c>
      <x:c r="G235" s="11" t="str">
        <x:v>几何：下弦x=0、4、8、12、16m且z=0，上部节点(4,2)、(8,4)、(12,2)m；上下轮廓顺次连接，三竖杆，另连下弦x=4与x=12到屋脊两斜杆；边界：下端铰滚；荷载：三个上节点各向下12kN；属性：轴力杆M1/A1。</x:v>
      </x:c>
      <x:c r="H235" s="11" t="str">
        <x:v>总图给三角轮廓，两根长斜腹杆同接屋脊而不接跨内交点。</x:v>
      </x:c>
      <x:c r="I235" s="11" t="str">
        <x:v>无</x:v>
      </x:c>
      <x:c r="J235" s="11" t="str">
        <x:v>无</x:v>
      </x:c>
      <x:c r="K235" s="11" t="str">
        <x:v>平行弦Howe类杆系改为三角屋架及中心汇交腹杆。</x:v>
      </x:c>
      <x:c r="L235" s="11" t="str">
        <x:v>基础工具；本题新增几何/属性与真值均待独立核验；材料截面代号须在本题附录定值。</x:v>
      </x:c>
      <x:c r="M235" s="11" t="str">
        <x:v>逐字段材料/截面数值及单位；完整支承自由度、荷载坐标与结果观测点；逐杆连接表与稳定性复核</x:v>
      </x:c>
      <x:c r="N235" s="11" t="str">
        <x:v>独立规划骨架；可执行模型/数值真值待生成</x:v>
      </x:c>
      <x:c r="O235" s="30" t="n">
        <x:f>COUNTIFS('300题规划'!$C$2:$C$301,A235)</x:f>
        <x:v>1</x:v>
      </x:c>
      <x:c r="P235" s="5" t="str">
        <x:f>INDEX('300题规划'!$Y$2:$Y$301,MATCH(B235,'300题规划'!$A$2:$A$301,0))</x:f>
        <x:v>OpenSees</x:v>
      </x:c>
      <x:c r="Q235" s="5" t="str">
        <x:f>INDEX('300题规划'!$AB$2:$AB$301,MATCH(B235,'300题规划'!$A$2:$A$301,0))</x:f>
        <x:v>待逐题验证</x:v>
      </x:c>
    </x:row>
    <x:row r="236" ht="54" customHeight="1">
      <x:c r="A236" s="28" t="str">
        <x:v>M-MM-035</x:v>
      </x:c>
      <x:c r="B236" s="6" t="str">
        <x:v>MM-035</x:v>
      </x:c>
      <x:c r="C236" s="6" t="str">
        <x:v>高低支承K形腹杆桁架</x:v>
      </x:c>
      <x:c r="D236" s="6" t="str">
        <x:v>桁架</x:v>
      </x:c>
      <x:c r="E236" s="6" t="str">
        <x:v>2D</x:v>
      </x:c>
      <x:c r="F236" s="6" t="str">
        <x:v>L3</x:v>
      </x:c>
      <x:c r="G236" s="6" t="str">
        <x:v>几何：18m跨度、3m高、六等节间K腹杆桁架；竖杆中点为连接节点，K形端点由逐杆表完整规定；边界：左端下弦铰支、右端上弦竖向滚支，其余节点无支座；荷载：上弦x=3、6、9m各向下12kN；属性：弦杆A1、腹杆A2，同一M1。</x:v>
      </x:c>
      <x:c r="H236" s="6" t="str">
        <x:v>支承不在同一弦杆标高，K节点又需由详图恢复。</x:v>
      </x:c>
      <x:c r="I236" s="6" t="str">
        <x:v>无</x:v>
      </x:c>
      <x:c r="J236" s="6" t="str">
        <x:v>无</x:v>
      </x:c>
      <x:c r="K236" s="6" t="str">
        <x:v>右端支承从下弦移到上弦，受力边界与传力路径改变。</x:v>
      </x:c>
      <x:c r="L236" s="6" t="str">
        <x:v>机构与连通性需独立验证；本题新增几何/属性与真值均待独立核验；材料截面代号须在本题附录定值。</x:v>
      </x:c>
      <x:c r="M236" s="6" t="str">
        <x:v>逐字段材料/截面数值及单位；完整支承自由度、荷载坐标与结果观测点；逐杆连接表与稳定性复核</x:v>
      </x:c>
      <x:c r="N236" s="6" t="str">
        <x:v>独立规划骨架；可执行模型/数值真值待生成</x:v>
      </x:c>
      <x:c r="O236" s="30" t="n">
        <x:f>COUNTIFS('300题规划'!$C$2:$C$301,A236)</x:f>
        <x:v>1</x:v>
      </x:c>
      <x:c r="P236" s="5" t="str">
        <x:f>INDEX('300题规划'!$Y$2:$Y$301,MATCH(B236,'300题规划'!$A$2:$A$301,0))</x:f>
        <x:v>OpenSees</x:v>
      </x:c>
      <x:c r="Q236" s="5" t="str">
        <x:f>INDEX('300题规划'!$AB$2:$AB$301,MATCH(B236,'300题规划'!$A$2:$A$301,0))</x:f>
        <x:v>待逐题验证</x:v>
      </x:c>
    </x:row>
    <x:row r="237" ht="54" customHeight="1">
      <x:c r="A237" s="27" t="str">
        <x:v>M-MM-036</x:v>
      </x:c>
      <x:c r="B237" s="11" t="str">
        <x:v>MM-036</x:v>
      </x:c>
      <x:c r="C237" s="11" t="str">
        <x:v>交叉中心相连的X腹杆桁架</x:v>
      </x:c>
      <x:c r="D237" s="11" t="str">
        <x:v>桁架</x:v>
      </x:c>
      <x:c r="E237" s="11" t="str">
        <x:v>2D</x:v>
      </x:c>
      <x:c r="F237" s="11" t="str">
        <x:v>L3</x:v>
      </x:c>
      <x:c r="G237" s="11" t="str">
        <x:v>几何：跨度12m、高2.5m、四等节间，上下弦顺接、五竖杆；每格中心设节点，X腹杆分为四段连接该中心；边界：左右下端铰滚；荷载：三个内部上节点各向下10kN；属性：弦杆A1、竖杆及斜杆A2，同一M1。</x:v>
      </x:c>
      <x:c r="H237" s="11" t="str">
        <x:v>实心中心节点决定四段连通，不能套用跨越不连接语义。</x:v>
      </x:c>
      <x:c r="I237" s="11" t="str">
        <x:v>无</x:v>
      </x:c>
      <x:c r="J237" s="11" t="str">
        <x:v>无</x:v>
      </x:c>
      <x:c r="K237" s="11" t="str">
        <x:v>原X交叉不连接改为每格中心相连并切分斜杆，节点和杆数均改变。</x:v>
      </x:c>
      <x:c r="L237" s="11" t="str">
        <x:v>基础工具；本题新增几何/属性与真值均待独立核验；材料截面代号须在本题附录定值。</x:v>
      </x:c>
      <x:c r="M237" s="11" t="str">
        <x:v>逐字段材料/截面数值及单位；完整支承自由度、荷载坐标与结果观测点；逐杆连接表与稳定性复核</x:v>
      </x:c>
      <x:c r="N237" s="11" t="str">
        <x:v>独立规划骨架；可执行模型/数值真值待生成</x:v>
      </x:c>
      <x:c r="O237" s="30" t="n">
        <x:f>COUNTIFS('300题规划'!$C$2:$C$301,A237)</x:f>
        <x:v>1</x:v>
      </x:c>
      <x:c r="P237" s="5" t="str">
        <x:f>INDEX('300题规划'!$Y$2:$Y$301,MATCH(B237,'300题规划'!$A$2:$A$301,0))</x:f>
        <x:v>OpenSees</x:v>
      </x:c>
      <x:c r="Q237" s="5" t="str">
        <x:f>INDEX('300题规划'!$AB$2:$AB$301,MATCH(B237,'300题规划'!$A$2:$A$301,0))</x:f>
        <x:v>待逐题验证</x:v>
      </x:c>
    </x:row>
    <x:row r="238" ht="54" customHeight="1">
      <x:c r="A238" s="28" t="str">
        <x:v>M-MM-037</x:v>
      </x:c>
      <x:c r="B238" s="6" t="str">
        <x:v>MM-037</x:v>
      </x:c>
      <x:c r="C238" s="6" t="str">
        <x:v>不等节间无竖杆桁架</x:v>
      </x:c>
      <x:c r="D238" s="6" t="str">
        <x:v>桁架</x:v>
      </x:c>
      <x:c r="E238" s="6" t="str">
        <x:v>2D</x:v>
      </x:c>
      <x:c r="F238" s="6" t="str">
        <x:v>L2</x:v>
      </x:c>
      <x:c r="G238" s="6" t="str">
        <x:v>几何：下弦x=0、2、5、9、12m且z=0；上弦(1,2.2)、(3.5,2.2)、(7,2.2)、(10.5,2.2)m；两弦顺接，每上节点连其两侧下节点，无竖杆；边界：下端铰滚；荷载：上节点依次向下8、12、10、6kN；属性：轴力杆M1/A1。</x:v>
      </x:c>
      <x:c r="H238" s="6" t="str">
        <x:v>不等节间与错列上节点要由尺寸链和标签共同恢复。</x:v>
      </x:c>
      <x:c r="I238" s="6" t="str">
        <x:v>无</x:v>
      </x:c>
      <x:c r="J238" s="6" t="str">
        <x:v>无</x:v>
      </x:c>
      <x:c r="K238" s="6" t="str">
        <x:v>同列上下弦加竖杆改为错列无竖杆拓扑，加载节点随之改变。</x:v>
      </x:c>
      <x:c r="L238" s="6" t="str">
        <x:v>基础工具；本题新增几何/属性与真值均待独立核验；材料截面代号须在本题附录定值。</x:v>
      </x:c>
      <x:c r="M238" s="6" t="str">
        <x:v>逐字段材料/截面数值及单位；完整支承自由度、荷载坐标与结果观测点；逐杆连接表与稳定性复核</x:v>
      </x:c>
      <x:c r="N238" s="6" t="str">
        <x:v>独立规划骨架；可执行模型/数值真值待生成</x:v>
      </x:c>
      <x:c r="O238" s="30" t="n">
        <x:f>COUNTIFS('300题规划'!$C$2:$C$301,A238)</x:f>
        <x:v>1</x:v>
      </x:c>
      <x:c r="P238" s="5" t="str">
        <x:f>INDEX('300题规划'!$Y$2:$Y$301,MATCH(B238,'300题规划'!$A$2:$A$301,0))</x:f>
        <x:v>OpenSees</x:v>
      </x:c>
      <x:c r="Q238" s="5" t="str">
        <x:f>INDEX('300题规划'!$AB$2:$AB$301,MATCH(B238,'300题规划'!$A$2:$A$301,0))</x:f>
        <x:v>待逐题验证</x:v>
      </x:c>
    </x:row>
    <x:row r="239" ht="54" customHeight="1">
      <x:c r="A239" s="27" t="str">
        <x:v>M-MM-038</x:v>
      </x:c>
      <x:c r="B239" s="11" t="str">
        <x:v>MM-038</x:v>
      </x:c>
      <x:c r="C239" s="11" t="str">
        <x:v>整体倾斜的平行弦桁架</x:v>
      </x:c>
      <x:c r="D239" s="11" t="str">
        <x:v>桁架</x:v>
      </x:c>
      <x:c r="E239" s="11" t="str">
        <x:v>2D</x:v>
      </x:c>
      <x:c r="F239" s="11" t="str">
        <x:v>L3</x:v>
      </x:c>
      <x:c r="G239" s="11" t="str">
        <x:v>几何：两弦x=0、3、6、9、12、15m；下弦z=0、0.3、0.6、0.9、1.2、1.5m，上弦各高2m；弦杆顺接、六竖杆、各格下左至上右斜杆；边界：左右下端铰滚；荷载：上弦x=6、9、12m全局向下20、15、10kN；属性：轴力杆M1/A1。</x:v>
      </x:c>
      <x:c r="H239" s="11" t="str">
        <x:v>下弦也倾斜，支承高差与全局竖向荷载不可被图像校正抹平。</x:v>
      </x:c>
      <x:c r="I239" s="11" t="str">
        <x:v>无</x:v>
      </x:c>
      <x:c r="J239" s="11" t="str">
        <x:v>无</x:v>
      </x:c>
      <x:c r="K239" s="11" t="str">
        <x:v>水平下弦单坡上弦改为两弦共同倾斜，改变支承高度和全部杆方向。</x:v>
      </x:c>
      <x:c r="L239" s="11" t="str">
        <x:v>机构与连通性需独立验证；本题新增几何/属性与真值均待独立核验；材料截面代号须在本题附录定值。斜杆全局荷载和局部轴适配待验证。</x:v>
      </x:c>
      <x:c r="M239" s="11" t="str">
        <x:v>逐字段材料/截面数值及单位；完整支承自由度、荷载坐标与结果观测点；逐杆连接表与稳定性复核</x:v>
      </x:c>
      <x:c r="N239" s="11" t="str">
        <x:v>独立规划骨架；可执行模型/数值真值待生成</x:v>
      </x:c>
      <x:c r="O239" s="30" t="n">
        <x:f>COUNTIFS('300题规划'!$C$2:$C$301,A239)</x:f>
        <x:v>1</x:v>
      </x:c>
      <x:c r="P239" s="5" t="str">
        <x:f>INDEX('300题规划'!$Y$2:$Y$301,MATCH(B239,'300题规划'!$A$2:$A$301,0))</x:f>
        <x:v>OpenSees</x:v>
      </x:c>
      <x:c r="Q239" s="5" t="str">
        <x:f>INDEX('300题规划'!$AB$2:$AB$301,MATCH(B239,'300题规划'!$A$2:$A$301,0))</x:f>
        <x:v>待逐题验证</x:v>
      </x:c>
    </x:row>
    <x:row r="240" ht="54" customHeight="1">
      <x:c r="A240" s="28" t="str">
        <x:v>M-MM-039</x:v>
      </x:c>
      <x:c r="B240" s="6" t="str">
        <x:v>MM-039</x:v>
      </x:c>
      <x:c r="C240" s="6" t="str">
        <x:v>三道弦杆双层腹杆桁架</x:v>
      </x:c>
      <x:c r="D240" s="6" t="str">
        <x:v>桁架</x:v>
      </x:c>
      <x:c r="E240" s="6" t="str">
        <x:v>2D</x:v>
      </x:c>
      <x:c r="F240" s="6" t="str">
        <x:v>L3</x:v>
      </x:c>
      <x:c r="G240" s="6" t="str">
        <x:v>几何：x=0、4、8、12、16、20m，三排节点z=0、1.5、3m；每排相邻连接，同列相邻层连竖杆，每个矩形格加下左至上右斜杆；边界：最下排两端铰滚；荷载：最上排四内部节点各向下12kN；属性：上/中/下弦与腹杆分别A1/A2/A3/A4，材料M1。</x:v>
      </x:c>
      <x:c r="H240" s="6" t="str">
        <x:v>三道弦杆与两层腹杆容易在投影中混层，四组截面需精确对应。</x:v>
      </x:c>
      <x:c r="I240" s="6" t="str">
        <x:v>无</x:v>
      </x:c>
      <x:c r="J240" s="6" t="str">
        <x:v>无</x:v>
      </x:c>
      <x:c r="K240" s="6" t="str">
        <x:v>二道弦杆改为三道弦杆双层腹杆系统，增加独立传力层。</x:v>
      </x:c>
      <x:c r="L240" s="6" t="str">
        <x:v>基础工具；本题新增几何/属性与真值均待独立核验；材料截面代号须在本题附录定值。</x:v>
      </x:c>
      <x:c r="M240" s="6" t="str">
        <x:v>逐字段材料/截面数值及单位；完整支承自由度、荷载坐标与结果观测点；逐杆连接表与稳定性复核</x:v>
      </x:c>
      <x:c r="N240" s="6" t="str">
        <x:v>独立规划骨架；可执行模型/数值真值待生成</x:v>
      </x:c>
      <x:c r="O240" s="30" t="n">
        <x:f>COUNTIFS('300题规划'!$C$2:$C$301,A240)</x:f>
        <x:v>1</x:v>
      </x:c>
      <x:c r="P240" s="5" t="str">
        <x:f>INDEX('300题规划'!$Y$2:$Y$301,MATCH(B240,'300题规划'!$A$2:$A$301,0))</x:f>
        <x:v>OpenSees</x:v>
      </x:c>
      <x:c r="Q240" s="5" t="str">
        <x:f>INDEX('300题规划'!$AB$2:$AB$301,MATCH(B240,'300题规划'!$A$2:$A$301,0))</x:f>
        <x:v>待逐题验证</x:v>
      </x:c>
    </x:row>
    <x:row r="241" ht="54" customHeight="1">
      <x:c r="A241" s="27" t="str">
        <x:v>M-MM-040</x:v>
      </x:c>
      <x:c r="B241" s="11" t="str">
        <x:v>MM-040</x:v>
      </x:c>
      <x:c r="C241" s="11" t="str">
        <x:v>中心方锥空间杆系</x:v>
      </x:c>
      <x:c r="D241" s="11" t="str">
        <x:v>桁架</x:v>
      </x:c>
      <x:c r="E241" s="11" t="str">
        <x:v>3D</x:v>
      </x:c>
      <x:c r="F241" s="11" t="str">
        <x:v>L2</x:v>
      </x:c>
      <x:c r="G241" s="11" t="str">
        <x:v>几何：底面四角(0,0,0)、(4,0,0)、(4,4,0)、(0,4,0)m及顶点(2,2,3)m，四底边杆加四斜杆；边界：四底节点均约束三向平移；荷载：顶点Z向-30kN；属性：全部为空间轴力杆M1/A1。</x:v>
      </x:c>
      <x:c r="H241" s="11" t="str">
        <x:v>小规模方锥可由平面和立面完整确定，三向约束显式给出。</x:v>
      </x:c>
      <x:c r="I241" s="11" t="str">
        <x:v>无</x:v>
      </x:c>
      <x:c r="J241" s="11" t="str">
        <x:v>无</x:v>
      </x:c>
      <x:c r="K241" s="11" t="str">
        <x:v>四面体六杆改为五节点八杆方锥，并改为四底节点约束。</x:v>
      </x:c>
      <x:c r="L241" s="11" t="str">
        <x:v>空间桁架及独立真值需验证；本题新增几何/属性与真值均待独立核验；材料截面代号须在本题附录定值。</x:v>
      </x:c>
      <x:c r="M241" s="11" t="str">
        <x:v>逐字段材料/截面数值及单位；完整支承自由度、荷载坐标与结果观测点；逐杆连接表与稳定性复核；局部轴和三向荷载约定</x:v>
      </x:c>
      <x:c r="N241" s="11" t="str">
        <x:v>独立规划骨架；可执行模型/数值真值待生成</x:v>
      </x:c>
      <x:c r="O241" s="30" t="n">
        <x:f>COUNTIFS('300题规划'!$C$2:$C$301,A241)</x:f>
        <x:v>1</x:v>
      </x:c>
      <x:c r="P241" s="5" t="str">
        <x:f>INDEX('300题规划'!$Y$2:$Y$301,MATCH(B241,'300题规划'!$A$2:$A$301,0))</x:f>
        <x:v>OpenSees</x:v>
      </x:c>
      <x:c r="Q241" s="5" t="str">
        <x:f>INDEX('300题规划'!$AB$2:$AB$301,MATCH(B241,'300题规划'!$A$2:$A$301,0))</x:f>
        <x:v>待逐题验证</x:v>
      </x:c>
    </x:row>
    <x:row r="242" ht="54" customHeight="1">
      <x:c r="A242" s="28" t="str">
        <x:v>M-MM-041</x:v>
      </x:c>
      <x:c r="B242" s="6" t="str">
        <x:v>MM-041</x:v>
      </x:c>
      <x:c r="C242" s="6" t="str">
        <x:v>上下双锥空间杆系</x:v>
      </x:c>
      <x:c r="D242" s="6" t="str">
        <x:v>桁架</x:v>
      </x:c>
      <x:c r="E242" s="6" t="str">
        <x:v>3D</x:v>
      </x:c>
      <x:c r="F242" s="6" t="str">
        <x:v>L3</x:v>
      </x:c>
      <x:c r="G242" s="6" t="str">
        <x:v>几何：底平面四角为6m方形，z=0；上顶点(4,2,3)m、下顶点(3,3,-2)m；四底边杆、上下顶点分别连四角，另连上下顶点；边界：四底角三向平移固定；荷载：上顶点Fx=10、Fz=-30kN，下顶点Fy=8、Fz=-20kN；属性：轴力杆M1/A1。</x:v>
      </x:c>
      <x:c r="H242" s="6" t="str">
        <x:v>上下顶点在多视图中投影不同，跨过底平面的连接杆无额外节点。</x:v>
      </x:c>
      <x:c r="I242" s="6" t="str">
        <x:v>无</x:v>
      </x:c>
      <x:c r="J242" s="6" t="str">
        <x:v>无</x:v>
      </x:c>
      <x:c r="K242" s="6" t="str">
        <x:v>单方锥增加下锥及上下顶点连杆，形成双顶点三维传力。</x:v>
      </x:c>
      <x:c r="L242" s="6" t="str">
        <x:v>空间桁架及独立真值需验证；本题新增几何/属性与真值均待独立核验；材料截面代号须在本题附录定值。</x:v>
      </x:c>
      <x:c r="M242" s="6" t="str">
        <x:v>逐字段材料/截面数值及单位；完整支承自由度、荷载坐标与结果观测点；逐杆连接表与稳定性复核；局部轴和三向荷载约定</x:v>
      </x:c>
      <x:c r="N242" s="6" t="str">
        <x:v>独立规划骨架；可执行模型/数值真值待生成</x:v>
      </x:c>
      <x:c r="O242" s="30" t="n">
        <x:f>COUNTIFS('300题规划'!$C$2:$C$301,A242)</x:f>
        <x:v>1</x:v>
      </x:c>
      <x:c r="P242" s="5" t="str">
        <x:f>INDEX('300题规划'!$Y$2:$Y$301,MATCH(B242,'300题规划'!$A$2:$A$301,0))</x:f>
        <x:v>OpenSees</x:v>
      </x:c>
      <x:c r="Q242" s="5" t="str">
        <x:f>INDEX('300题规划'!$AB$2:$AB$301,MATCH(B242,'300题规划'!$A$2:$A$301,0))</x:f>
        <x:v>待逐题验证</x:v>
      </x:c>
    </x:row>
    <x:row r="243" ht="54" customHeight="1">
      <x:c r="A243" s="27" t="str">
        <x:v>M-MM-042</x:v>
      </x:c>
      <x:c r="B243" s="11" t="str">
        <x:v>MM-042</x:v>
      </x:c>
      <x:c r="C243" s="11" t="str">
        <x:v>三层三角柱空间桁架</x:v>
      </x:c>
      <x:c r="D243" s="11" t="str">
        <x:v>桁架</x:v>
      </x:c>
      <x:c r="E243" s="11" t="str">
        <x:v>3D</x:v>
      </x:c>
      <x:c r="F243" s="11" t="str">
        <x:v>L3</x:v>
      </x:c>
      <x:c r="G243" s="11" t="str">
        <x:v>几何：底面为边长4m等边三角形，在z=0、2.5、5、7.5m共四层布置同样三角节点；各层三角环、相邻层对应竖杆，各侧矩形格一根统一方向斜杆；边界：底三节点三向固定；荷载：顶层第1节点Fx=12kN、第2节点Fy=8kN、三顶点均Fz=-10kN；属性：竖杆A1、环杆A2、斜杆A3，材料M1。</x:v>
      </x:c>
      <x:c r="H243" s="11" t="str">
        <x:v>四层投影节点需按标高区分，三种杆组与不同顶点荷载分别映射。</x:v>
      </x:c>
      <x:c r="I243" s="11" t="str">
        <x:v>无</x:v>
      </x:c>
      <x:c r="J243" s="11" t="str">
        <x:v>无</x:v>
      </x:c>
      <x:c r="K243" s="11" t="str">
        <x:v>两层杆系改为三层，并加入杆件分组和分顶点双向侧载。</x:v>
      </x:c>
      <x:c r="L243" s="11" t="str">
        <x:v>空间桁架及独立真值需验证；本题新增几何/属性与真值均待独立核验；材料截面代号须在本题附录定值。</x:v>
      </x:c>
      <x:c r="M243" s="11" t="str">
        <x:v>逐字段材料/截面数值及单位；完整支承自由度、荷载坐标与结果观测点；逐杆连接表与稳定性复核；局部轴和三向荷载约定</x:v>
      </x:c>
      <x:c r="N243" s="11" t="str">
        <x:v>独立规划骨架；可执行模型/数值真值待生成</x:v>
      </x:c>
      <x:c r="O243" s="30" t="n">
        <x:f>COUNTIFS('300题规划'!$C$2:$C$301,A243)</x:f>
        <x:v>1</x:v>
      </x:c>
      <x:c r="P243" s="5" t="str">
        <x:f>INDEX('300题规划'!$Y$2:$Y$301,MATCH(B243,'300题规划'!$A$2:$A$301,0))</x:f>
        <x:v>OpenSees</x:v>
      </x:c>
      <x:c r="Q243" s="5" t="str">
        <x:f>INDEX('300题规划'!$AB$2:$AB$301,MATCH(B243,'300题规划'!$A$2:$A$301,0))</x:f>
        <x:v>待逐题验证</x:v>
      </x:c>
    </x:row>
    <x:row r="244" ht="54" customHeight="1">
      <x:c r="A244" s="28" t="str">
        <x:v>M-MM-043</x:v>
      </x:c>
      <x:c r="B244" s="6" t="str">
        <x:v>MM-043</x:v>
      </x:c>
      <x:c r="C244" s="6" t="str">
        <x:v>铰固双坡屋面门架</x:v>
      </x:c>
      <x:c r="D244" s="6" t="str">
        <x:v>门式刚架</x:v>
      </x:c>
      <x:c r="E244" s="6" t="str">
        <x:v>2D</x:v>
      </x:c>
      <x:c r="F244" s="6" t="str">
        <x:v>L2</x:v>
      </x:c>
      <x:c r="G244" s="6" t="str">
        <x:v>几何：门架柱脚x=0、18m，檐高7m，屋脊(9,9)m，两坡梁刚接；边界：左柱脚铰、右柱脚固定；荷载：两坡按实际长度全局向下6kN/m；属性：柱C1、坡梁B1，材料M1。</x:v>
      </x:c>
      <x:c r="H244" s="6" t="str">
        <x:v>建筑DXF需剔除围护，并保留双坡与不同柱脚。</x:v>
      </x:c>
      <x:c r="I244" s="6" t="str">
        <x:v>portal-frame-static-18m</x:v>
      </x:c>
      <x:c r="J244" s="6" t="str">
        <x:v>portal-simple-18m</x:v>
      </x:c>
      <x:c r="K244" s="6" t="str">
        <x:v>平屋面双固端门架改为双坡屋面及铰固混合边界。</x:v>
      </x:c>
      <x:c r="L244" s="6" t="str">
        <x:v>基础工具；本题新增几何/属性与真值均待独立核验；材料截面代号须在本题附录定值。斜杆全局荷载和局部轴适配待验证。</x:v>
      </x:c>
      <x:c r="M244" s="6" t="str">
        <x:v>逐字段材料/截面数值及单位；完整支承自由度、荷载坐标与结果观测点</x:v>
      </x:c>
      <x:c r="N244" s="6" t="str">
        <x:v>独立规划骨架；可执行模型/数值真值待生成</x:v>
      </x:c>
      <x:c r="O244" s="30" t="n">
        <x:f>COUNTIFS('300题规划'!$C$2:$C$301,A244)</x:f>
        <x:v>1</x:v>
      </x:c>
      <x:c r="P244" s="5" t="str">
        <x:f>INDEX('300题规划'!$Y$2:$Y$301,MATCH(B244,'300题规划'!$A$2:$A$301,0))</x:f>
        <x:v>OpenSees</x:v>
      </x:c>
      <x:c r="Q244" s="5" t="str">
        <x:f>INDEX('300题规划'!$AB$2:$AB$301,MATCH(B244,'300题规划'!$A$2:$A$301,0))</x:f>
        <x:v>待逐题验证</x:v>
      </x:c>
    </x:row>
    <x:row r="245" ht="54" customHeight="1">
      <x:c r="A245" s="27" t="str">
        <x:v>M-MM-044</x:v>
      </x:c>
      <x:c r="B245" s="11" t="str">
        <x:v>MM-044</x:v>
      </x:c>
      <x:c r="C245" s="11" t="str">
        <x:v>一跨平顶一跨双坡门架</x:v>
      </x:c>
      <x:c r="D245" s="11" t="str">
        <x:v>门式刚架</x:v>
      </x:c>
      <x:c r="E245" s="11" t="str">
        <x:v>2D</x:v>
      </x:c>
      <x:c r="F245" s="11" t="str">
        <x:v>L3</x:v>
      </x:c>
      <x:c r="G245" s="11" t="str">
        <x:v>几何：柱线x=0、18、36m，三柱檐高9m；左跨平梁，右跨经屋脊(27,11)m形成双坡；边界：三柱脚固定；荷载：全部屋面梁按实际长度向下6kN/m；属性：柱C1、左梁B1、右坡梁B2，材料M1。</x:v>
      </x:c>
      <x:c r="H245" s="11" t="str">
        <x:v>左右屋面拓扑不同，中柱共同连接平梁与坡梁。</x:v>
      </x:c>
      <x:c r="I245" s="11" t="str">
        <x:v>std-portal-double-gt</x:v>
      </x:c>
      <x:c r="J245" s="11" t="str">
        <x:v>portal-complex-ds</x:v>
      </x:c>
      <x:c r="K245" s="11" t="str">
        <x:v>双跨平顶改成平顶加双坡混合屋面，并采用两类屋面截面。</x:v>
      </x:c>
      <x:c r="L245" s="11" t="str">
        <x:v>基础工具；本题新增几何/属性与真值均待独立核验；材料截面代号须在本题附录定值。斜杆全局荷载和局部轴适配待验证。</x:v>
      </x:c>
      <x:c r="M245" s="11" t="str">
        <x:v>逐字段材料/截面数值及单位；完整支承自由度、荷载坐标与结果观测点</x:v>
      </x:c>
      <x:c r="N245" s="11" t="str">
        <x:v>独立规划骨架；可执行模型/数值真值待生成</x:v>
      </x:c>
      <x:c r="O245" s="30" t="n">
        <x:f>COUNTIFS('300题规划'!$C$2:$C$301,A245)</x:f>
        <x:v>1</x:v>
      </x:c>
      <x:c r="P245" s="5" t="str">
        <x:f>INDEX('300题规划'!$Y$2:$Y$301,MATCH(B245,'300题规划'!$A$2:$A$301,0))</x:f>
        <x:v>OpenSees</x:v>
      </x:c>
      <x:c r="Q245" s="5" t="str">
        <x:f>INDEX('300题规划'!$AB$2:$AB$301,MATCH(B245,'300题规划'!$A$2:$A$301,0))</x:f>
        <x:v>待逐题验证</x:v>
      </x:c>
    </x:row>
    <x:row r="246" ht="54" customHeight="1">
      <x:c r="A246" s="28" t="str">
        <x:v>M-MM-045</x:v>
      </x:c>
      <x:c r="B246" s="6" t="str">
        <x:v>MM-045</x:v>
      </x:c>
      <x:c r="C246" s="6" t="str">
        <x:v>单坡铰固门架</x:v>
      </x:c>
      <x:c r="D246" s="6" t="str">
        <x:v>门式刚架</x:v>
      </x:c>
      <x:c r="E246" s="6" t="str">
        <x:v>2D</x:v>
      </x:c>
      <x:c r="F246" s="6" t="str">
        <x:v>L2</x:v>
      </x:c>
      <x:c r="G246" s="6" t="str">
        <x:v>几何：两柱相距21m，左柱高6m、右柱高7.5m，斜屋面梁刚接；边界：左柱脚铰、右柱脚固定；荷载：坡梁按实际长度全局向下8kN/m；属性：柱C1、梁B1，材料M1。</x:v>
      </x:c>
      <x:c r="H246" s="6" t="str">
        <x:v>两柱高度不同，斜梁荷载沿全局竖向而非杆件法向。</x:v>
      </x:c>
      <x:c r="I246" s="6" t="str">
        <x:v>portal-frame-static-en</x:v>
      </x:c>
      <x:c r="J246" s="6" t="str">
        <x:v>portal-simple-21m-7p5-8k</x:v>
      </x:c>
      <x:c r="K246" s="6" t="str">
        <x:v>平顶双固端改为单坡屋面及铰固混合柱脚。</x:v>
      </x:c>
      <x:c r="L246" s="6" t="str">
        <x:v>基础工具；本题新增几何/属性与真值均待独立核验；材料截面代号须在本题附录定值。斜杆全局荷载和局部轴适配待验证。</x:v>
      </x:c>
      <x:c r="M246" s="6" t="str">
        <x:v>逐字段材料/截面数值及单位；完整支承自由度、荷载坐标与结果观测点</x:v>
      </x:c>
      <x:c r="N246" s="6" t="str">
        <x:v>独立规划骨架；可执行模型/数值真值待生成</x:v>
      </x:c>
      <x:c r="O246" s="30" t="n">
        <x:f>COUNTIFS('300题规划'!$C$2:$C$301,A246)</x:f>
        <x:v>1</x:v>
      </x:c>
      <x:c r="P246" s="5" t="str">
        <x:f>INDEX('300题规划'!$Y$2:$Y$301,MATCH(B246,'300题规划'!$A$2:$A$301,0))</x:f>
        <x:v>OpenSees</x:v>
      </x:c>
      <x:c r="Q246" s="5" t="str">
        <x:f>INDEX('300题规划'!$AB$2:$AB$301,MATCH(B246,'300题规划'!$A$2:$A$301,0))</x:f>
        <x:v>待逐题验证</x:v>
      </x:c>
    </x:row>
    <x:row r="247" ht="54" customHeight="1">
      <x:c r="A247" s="27" t="str">
        <x:v>M-MM-046</x:v>
      </x:c>
      <x:c r="B247" s="11" t="str">
        <x:v>MM-046</x:v>
      </x:c>
      <x:c r="C247" s="11" t="str">
        <x:v>抬高中柱基础的双跨门架</x:v>
      </x:c>
      <x:c r="D247" s="11" t="str">
        <x:v>门式刚架</x:v>
      </x:c>
      <x:c r="E247" s="11" t="str">
        <x:v>2D</x:v>
      </x:c>
      <x:c r="F247" s="11" t="str">
        <x:v>L3</x:v>
      </x:c>
      <x:c r="G247" s="11" t="str">
        <x:v>几何：柱线x=0、18、36m，屋面z=9m；外柱从z=0起，中柱从z=3m起并在z=6m设荷载节点；边界：三个实际柱底固定；荷载：屋面6kN/m向下，中柱z=6m处Fz=-49、Fx=4.9kN；属性：柱C1、梁B1，材料M1。</x:v>
      </x:c>
      <x:c r="H247" s="11" t="str">
        <x:v>中柱基础标高、荷载标高和屋面标高不可混为一处。</x:v>
      </x:c>
      <x:c r="I247" s="11" t="str">
        <x:v>portal-frame-double-span-crane-static</x:v>
      </x:c>
      <x:c r="J247" s="11" t="str">
        <x:v>portal-double-36m-9m-crane5t</x:v>
      </x:c>
      <x:c r="K247" s="11" t="str">
        <x:v>中柱基础抬高且吊车等效力改在柱中段，几何和作用点同时变化。</x:v>
      </x:c>
      <x:c r="L247" s="11" t="str">
        <x:v>基础工具；本题新增几何/属性与真值均待独立核验；材料截面代号须在本题附录定值。</x:v>
      </x:c>
      <x:c r="M247" s="11" t="str">
        <x:v>逐字段材料/截面数值及单位；完整支承自由度、荷载坐标与结果观测点</x:v>
      </x:c>
      <x:c r="N247" s="11" t="str">
        <x:v>独立规划骨架；可执行模型/数值真值待生成</x:v>
      </x:c>
      <x:c r="O247" s="30" t="n">
        <x:f>COUNTIFS('300题规划'!$C$2:$C$301,A247)</x:f>
        <x:v>1</x:v>
      </x:c>
      <x:c r="P247" s="5" t="str">
        <x:f>INDEX('300题规划'!$Y$2:$Y$301,MATCH(B247,'300题规划'!$A$2:$A$301,0))</x:f>
        <x:v>OpenSees</x:v>
      </x:c>
      <x:c r="Q247" s="5" t="str">
        <x:f>INDEX('300题规划'!$AB$2:$AB$301,MATCH(B247,'300题规划'!$A$2:$A$301,0))</x:f>
        <x:v>待逐题验证</x:v>
      </x:c>
    </x:row>
    <x:row r="248" ht="54" customHeight="1">
      <x:c r="A248" s="28" t="str">
        <x:v>M-MM-047</x:v>
      </x:c>
      <x:c r="B248" s="6" t="str">
        <x:v>MM-047</x:v>
      </x:c>
      <x:c r="C248" s="6" t="str">
        <x:v>双侧独立夹层悬挑门架</x:v>
      </x:c>
      <x:c r="D248" s="6" t="str">
        <x:v>门式刚架</x:v>
      </x:c>
      <x:c r="E248" s="6" t="str">
        <x:v>2D</x:v>
      </x:c>
      <x:c r="F248" s="6" t="str">
        <x:v>L3</x:v>
      </x:c>
      <x:c r="G248" s="6" t="str">
        <x:v>几何：18m跨、7m高门架；z=3m左柱向右悬挑6m，右柱向左悬挑6m，两悬挑端相隔6m且不连接；边界：两柱脚固定；荷载：屋面向下6kN/m，左夹层4、右夹层8kN/m；属性：柱C1、屋面B1、夹层B2，材料M1。</x:v>
      </x:c>
      <x:c r="H248" s="6" t="str">
        <x:v>两段夹层线不能被建筑背景合并成整层连续梁。</x:v>
      </x:c>
      <x:c r="I248" s="6" t="str">
        <x:v>portal-frame-with-mezzanine</x:v>
      </x:c>
      <x:c r="J248" s="6" t="str">
        <x:v>portal-mezzanine-18m-7m</x:v>
      </x:c>
      <x:c r="K248" s="6" t="str">
        <x:v>单侧夹层改为左右两个互不连接的悬挑夹层并不对称加载。</x:v>
      </x:c>
      <x:c r="L248" s="6" t="str">
        <x:v>基础工具；本题新增几何/属性与真值均待独立核验；材料截面代号须在本题附录定值。</x:v>
      </x:c>
      <x:c r="M248" s="6" t="str">
        <x:v>逐字段材料/截面数值及单位；完整支承自由度、荷载坐标与结果观测点</x:v>
      </x:c>
      <x:c r="N248" s="6" t="str">
        <x:v>独立规划骨架；可执行模型/数值真值待生成</x:v>
      </x:c>
      <x:c r="O248" s="30" t="n">
        <x:f>COUNTIFS('300题规划'!$C$2:$C$301,A248)</x:f>
        <x:v>1</x:v>
      </x:c>
      <x:c r="P248" s="5" t="str">
        <x:f>INDEX('300题规划'!$Y$2:$Y$301,MATCH(B248,'300题规划'!$A$2:$A$301,0))</x:f>
        <x:v>OpenSees</x:v>
      </x:c>
      <x:c r="Q248" s="5" t="str">
        <x:f>INDEX('300题规划'!$AB$2:$AB$301,MATCH(B248,'300题规划'!$A$2:$A$301,0))</x:f>
        <x:v>待逐题验证</x:v>
      </x:c>
    </x:row>
    <x:row r="249" ht="54" customHeight="1">
      <x:c r="A249" s="27" t="str">
        <x:v>M-MM-048</x:v>
      </x:c>
      <x:c r="B249" s="11" t="str">
        <x:v>MM-048</x:v>
      </x:c>
      <x:c r="C249" s="11" t="str">
        <x:v>带屋脊中柱的双坡门架</x:v>
      </x:c>
      <x:c r="D249" s="11" t="str">
        <x:v>门式刚架</x:v>
      </x:c>
      <x:c r="E249" s="11" t="str">
        <x:v>2D</x:v>
      </x:c>
      <x:c r="F249" s="11" t="str">
        <x:v>L3</x:v>
      </x:c>
      <x:c r="G249" s="11" t="str">
        <x:v>几何：柱线x=0、10、20m，外柱檐高6m，中柱到屋脊z=8m；屋面两坡在中柱顶刚接；边界：三柱脚固定；荷载：两坡按实际长度向下6kN/m；属性：外柱C1、中柱C2、坡梁B1，材料M1。</x:v>
      </x:c>
      <x:c r="H249" s="11" t="str">
        <x:v>屋脊不是自由顶点，而是第三根柱的连接点。</x:v>
      </x:c>
      <x:c r="I249" s="11" t="str">
        <x:v>无</x:v>
      </x:c>
      <x:c r="J249" s="11" t="str">
        <x:v>无</x:v>
      </x:c>
      <x:c r="K249" s="11" t="str">
        <x:v>无中柱双坡门架增加屋脊支承柱，改变屋面梁支承体系。</x:v>
      </x:c>
      <x:c r="L249" s="11" t="str">
        <x:v>斜杆荷载与局部轴需验证；本题新增几何/属性与真值均待独立核验；材料截面代号须在本题附录定值。斜杆全局荷载和局部轴适配待验证。</x:v>
      </x:c>
      <x:c r="M249" s="11" t="str">
        <x:v>逐字段材料/截面数值及单位；完整支承自由度、荷载坐标与结果观测点</x:v>
      </x:c>
      <x:c r="N249" s="11" t="str">
        <x:v>独立规划骨架；可执行模型/数值真值待生成</x:v>
      </x:c>
      <x:c r="O249" s="30" t="n">
        <x:f>COUNTIFS('300题规划'!$C$2:$C$301,A249)</x:f>
        <x:v>1</x:v>
      </x:c>
      <x:c r="P249" s="5" t="str">
        <x:f>INDEX('300题规划'!$Y$2:$Y$301,MATCH(B249,'300题规划'!$A$2:$A$301,0))</x:f>
        <x:v>OpenSees</x:v>
      </x:c>
      <x:c r="Q249" s="5" t="str">
        <x:f>INDEX('300题规划'!$AB$2:$AB$301,MATCH(B249,'300题规划'!$A$2:$A$301,0))</x:f>
        <x:v>待逐题验证</x:v>
      </x:c>
    </x:row>
    <x:row r="250" ht="54" customHeight="1">
      <x:c r="A250" s="28" t="str">
        <x:v>M-MM-049</x:v>
      </x:c>
      <x:c r="B250" s="6" t="str">
        <x:v>MM-049</x:v>
      </x:c>
      <x:c r="C250" s="6" t="str">
        <x:v>双峰单谷折线屋面门架</x:v>
      </x:c>
      <x:c r="D250" s="6" t="str">
        <x:v>门式刚架</x:v>
      </x:c>
      <x:c r="E250" s="6" t="str">
        <x:v>2D</x:v>
      </x:c>
      <x:c r="F250" s="6" t="str">
        <x:v>L3</x:v>
      </x:c>
      <x:c r="G250" s="6" t="str">
        <x:v>几何：外柱x=0、24m且檐高6m；屋面依次经过(0,6)、(6,8)、(14,7)、(18,9)、(24,6)m，全部折点刚接且无中柱；边界：两外柱脚固定；荷载：前两坡段向下5kN/m，后两坡段7kN/m，按实际长度；属性：柱C1、屋面B1，材料M1。</x:v>
      </x:c>
      <x:c r="H250" s="6" t="str">
        <x:v>多折点轮廓不是对称双坡模板，谷点同样是刚接梁节点。</x:v>
      </x:c>
      <x:c r="I250" s="6" t="str">
        <x:v>无</x:v>
      </x:c>
      <x:c r="J250" s="6" t="str">
        <x:v>无</x:v>
      </x:c>
      <x:c r="K250" s="6" t="str">
        <x:v>单峰非对称屋面改为双峰单谷四段折线屋面。</x:v>
      </x:c>
      <x:c r="L250" s="6" t="str">
        <x:v>斜杆荷载与局部轴需验证；本题新增几何/属性与真值均待独立核验；材料截面代号须在本题附录定值。斜杆全局荷载和局部轴适配待验证。</x:v>
      </x:c>
      <x:c r="M250" s="6" t="str">
        <x:v>逐字段材料/截面数值及单位；完整支承自由度、荷载坐标与结果观测点</x:v>
      </x:c>
      <x:c r="N250" s="6" t="str">
        <x:v>独立规划骨架；可执行模型/数值真值待生成</x:v>
      </x:c>
      <x:c r="O250" s="30" t="n">
        <x:f>COUNTIFS('300题规划'!$C$2:$C$301,A250)</x:f>
        <x:v>1</x:v>
      </x:c>
      <x:c r="P250" s="5" t="str">
        <x:f>INDEX('300题规划'!$Y$2:$Y$301,MATCH(B250,'300题规划'!$A$2:$A$301,0))</x:f>
        <x:v>OpenSees</x:v>
      </x:c>
      <x:c r="Q250" s="5" t="str">
        <x:f>INDEX('300题规划'!$AB$2:$AB$301,MATCH(B250,'300题规划'!$A$2:$A$301,0))</x:f>
        <x:v>待逐题验证</x:v>
      </x:c>
    </x:row>
    <x:row r="251" ht="54" customHeight="1">
      <x:c r="A251" s="27" t="str">
        <x:v>M-MM-050</x:v>
      </x:c>
      <x:c r="B251" s="11" t="str">
        <x:v>MM-050</x:v>
      </x:c>
      <x:c r="C251" s="11" t="str">
        <x:v>三跨错高门架</x:v>
      </x:c>
      <x:c r="D251" s="11" t="str">
        <x:v>门式刚架</x:v>
      </x:c>
      <x:c r="E251" s="11" t="str">
        <x:v>2D</x:v>
      </x:c>
      <x:c r="F251" s="11" t="str">
        <x:v>L3</x:v>
      </x:c>
      <x:c r="G251" s="11" t="str">
        <x:v>几何：柱线x=0、12、30、40m；左跨梁z=6m、中跨梁z=8m、右跨梁z=7m；中间两柱分别设6/8m和7/8m连接节点，端柱达到各自屋面；边界：四柱脚固定；荷载：三屋面依次向下5、7、6kN/m；属性：柱C1、梁B1，材料M1。</x:v>
      </x:c>
      <x:c r="H251" s="11" t="str">
        <x:v>四根柱上的不同连接标高需在DXF中保留，不能共线合并。</x:v>
      </x:c>
      <x:c r="I251" s="11" t="str">
        <x:v>无</x:v>
      </x:c>
      <x:c r="J251" s="11" t="str">
        <x:v>无</x:v>
      </x:c>
      <x:c r="K251" s="11" t="str">
        <x:v>两跨错高扩为三跨三个屋面标高，新增独立柱段与梁连接。</x:v>
      </x:c>
      <x:c r="L251" s="11" t="str">
        <x:v>基础工具；本题新增几何/属性与真值均待独立核验；材料截面代号须在本题附录定值。</x:v>
      </x:c>
      <x:c r="M251" s="11" t="str">
        <x:v>逐字段材料/截面数值及单位；完整支承自由度、荷载坐标与结果观测点</x:v>
      </x:c>
      <x:c r="N251" s="11" t="str">
        <x:v>独立规划骨架；可执行模型/数值真值待生成</x:v>
      </x:c>
      <x:c r="O251" s="30" t="n">
        <x:f>COUNTIFS('300题规划'!$C$2:$C$301,A251)</x:f>
        <x:v>1</x:v>
      </x:c>
      <x:c r="P251" s="5" t="str">
        <x:f>INDEX('300题规划'!$Y$2:$Y$301,MATCH(B251,'300题规划'!$A$2:$A$301,0))</x:f>
        <x:v>OpenSees</x:v>
      </x:c>
      <x:c r="Q251" s="5" t="str">
        <x:f>INDEX('300题规划'!$AB$2:$AB$301,MATCH(B251,'300题规划'!$A$2:$A$301,0))</x:f>
        <x:v>待逐题验证</x:v>
      </x:c>
    </x:row>
    <x:row r="252" ht="54" customHeight="1">
      <x:c r="A252" s="28" t="str">
        <x:v>M-MM-051</x:v>
      </x:c>
      <x:c r="B252" s="6" t="str">
        <x:v>MM-051</x:v>
      </x:c>
      <x:c r="C252" s="6" t="str">
        <x:v>右檐带外伸的风吸门架</x:v>
      </x:c>
      <x:c r="D252" s="6" t="str">
        <x:v>门式刚架</x:v>
      </x:c>
      <x:c r="E252" s="6" t="str">
        <x:v>2D</x:v>
      </x:c>
      <x:c r="F252" s="6" t="str">
        <x:v>L3</x:v>
      </x:c>
      <x:c r="G252" s="6" t="str">
        <x:v>几何：18m跨、6m檐高、7.5m屋脊高双坡门架；右坡越过右柱继续同坡度外伸2m至x=20m；边界：两柱脚固定，屋脊刚接；荷载：D全屋面按实际长度向下6kN/m，W仅右侧2m外伸段向上10kN/m；组合D、D+W；属性：柱C1、屋面B1，材料M1。</x:v>
      </x:c>
      <x:c r="H252" s="6" t="str">
        <x:v>风区仅覆盖越过柱顶的外伸段，和整个右坡不同。</x:v>
      </x:c>
      <x:c r="I252" s="6" t="str">
        <x:v>无</x:v>
      </x:c>
      <x:c r="J252" s="6" t="str">
        <x:v>无</x:v>
      </x:c>
      <x:c r="K252" s="6" t="str">
        <x:v>新增右檐外伸梁，将上拔工况改为外伸段局部风吸。</x:v>
      </x:c>
      <x:c r="L252" s="6" t="str">
        <x:v>斜杆荷载与多组合需验证；本题新增几何/属性与真值均待独立核验；材料截面代号须在本题附录定值。斜杆全局荷载和局部轴适配待验证。</x:v>
      </x:c>
      <x:c r="M252" s="6" t="str">
        <x:v>逐字段材料/截面数值及单位；完整支承自由度、荷载坐标与结果观测点；完整工况/组合系数表</x:v>
      </x:c>
      <x:c r="N252" s="6" t="str">
        <x:v>独立规划骨架；可执行模型/数值真值待生成</x:v>
      </x:c>
      <x:c r="O252" s="30" t="n">
        <x:f>COUNTIFS('300题规划'!$C$2:$C$301,A252)</x:f>
        <x:v>1</x:v>
      </x:c>
      <x:c r="P252" s="5" t="str">
        <x:f>INDEX('300题规划'!$Y$2:$Y$301,MATCH(B252,'300题规划'!$A$2:$A$301,0))</x:f>
        <x:v>OpenSees</x:v>
      </x:c>
      <x:c r="Q252" s="5" t="str">
        <x:f>INDEX('300题规划'!$AB$2:$AB$301,MATCH(B252,'300题规划'!$A$2:$A$301,0))</x:f>
        <x:v>待逐题验证</x:v>
      </x:c>
    </x:row>
    <x:row r="253" ht="54" customHeight="1">
      <x:c r="A253" s="27" t="str">
        <x:v>M-MM-052</x:v>
      </x:c>
      <x:c r="B253" s="11" t="str">
        <x:v>MM-052</x:v>
      </x:c>
      <x:c r="C253" s="11" t="str">
        <x:v>柱梁均分段截面的门架</x:v>
      </x:c>
      <x:c r="D253" s="11" t="str">
        <x:v>门式刚架</x:v>
      </x:c>
      <x:c r="E253" s="11" t="str">
        <x:v>2D</x:v>
      </x:c>
      <x:c r="F253" s="11" t="str">
        <x:v>L3</x:v>
      </x:c>
      <x:c r="G253" s="11" t="str">
        <x:v>几何：22m跨、7m高平顶门架，屋面在x=6、16m分段，两柱在z=3m分段；边界：两柱脚固定，所有分段点刚接；荷载：屋面向下8kN/m，右柱顶Fx=15kN；属性：屋面B1/B2/B1，下柱段C1、上柱段C2，同一M1。</x:v>
      </x:c>
      <x:c r="H253" s="11" t="str">
        <x:v>梁与柱均有属性分界，分界不代表支座或内铰。</x:v>
      </x:c>
      <x:c r="I253" s="11" t="str">
        <x:v>无</x:v>
      </x:c>
      <x:c r="J253" s="11" t="str">
        <x:v>无</x:v>
      </x:c>
      <x:c r="K253" s="11" t="str">
        <x:v>原仅屋面变截面改为柱梁同时分段截面并增加侧向工况分量。</x:v>
      </x:c>
      <x:c r="L253" s="11" t="str">
        <x:v>基础工具；本题新增几何/属性与真值均待独立核验；材料截面代号须在本题附录定值。</x:v>
      </x:c>
      <x:c r="M253" s="11" t="str">
        <x:v>逐字段材料/截面数值及单位；完整支承自由度、荷载坐标与结果观测点</x:v>
      </x:c>
      <x:c r="N253" s="11" t="str">
        <x:v>独立规划骨架；可执行模型/数值真值待生成</x:v>
      </x:c>
      <x:c r="O253" s="30" t="n">
        <x:f>COUNTIFS('300题规划'!$C$2:$C$301,A253)</x:f>
        <x:v>1</x:v>
      </x:c>
      <x:c r="P253" s="5" t="str">
        <x:f>INDEX('300题规划'!$Y$2:$Y$301,MATCH(B253,'300题规划'!$A$2:$A$301,0))</x:f>
        <x:v>OpenSees</x:v>
      </x:c>
      <x:c r="Q253" s="5" t="str">
        <x:f>INDEX('300题规划'!$AB$2:$AB$301,MATCH(B253,'300题规划'!$A$2:$A$301,0))</x:f>
        <x:v>待逐题验证</x:v>
      </x:c>
    </x:row>
    <x:row r="254" ht="54" customHeight="1">
      <x:c r="A254" s="28" t="str">
        <x:v>M-MM-053</x:v>
      </x:c>
      <x:c r="B254" s="6" t="str">
        <x:v>MM-053</x:v>
      </x:c>
      <x:c r="C254" s="6" t="str">
        <x:v>中部横梁约束的铰固门架</x:v>
      </x:c>
      <x:c r="D254" s="6" t="str">
        <x:v>门式刚架</x:v>
      </x:c>
      <x:c r="E254" s="6" t="str">
        <x:v>2D</x:v>
      </x:c>
      <x:c r="F254" s="6" t="str">
        <x:v>L3</x:v>
      </x:c>
      <x:c r="G254" s="6" t="str">
        <x:v>几何：16m跨、6m高平顶门架，在z=3m增设连接两柱的刚接横梁；边界：左柱脚铰、右柱脚固定；荷载：屋面向下8kN/m，中横梁不加载，右柱顶Fx=12kN；属性：柱C1、屋面B1、中横梁B2，材料M1。</x:v>
      </x:c>
      <x:c r="H254" s="6" t="str">
        <x:v>中横梁无荷载但参与约束，不能当尺寸辅助线删除。</x:v>
      </x:c>
      <x:c r="I254" s="6" t="str">
        <x:v>无</x:v>
      </x:c>
      <x:c r="J254" s="6" t="str">
        <x:v>无</x:v>
      </x:c>
      <x:c r="K254" s="6" t="str">
        <x:v>单层门架增加中部刚接横梁，产生新的框架约束和内力路径。</x:v>
      </x:c>
      <x:c r="L254" s="6" t="str">
        <x:v>基础工具；本题新增几何/属性与真值均待独立核验；材料截面代号须在本题附录定值。</x:v>
      </x:c>
      <x:c r="M254" s="6" t="str">
        <x:v>逐字段材料/截面数值及单位；完整支承自由度、荷载坐标与结果观测点</x:v>
      </x:c>
      <x:c r="N254" s="6" t="str">
        <x:v>独立规划骨架；可执行模型/数值真值待生成</x:v>
      </x:c>
      <x:c r="O254" s="30" t="n">
        <x:f>COUNTIFS('300题规划'!$C$2:$C$301,A254)</x:f>
        <x:v>1</x:v>
      </x:c>
      <x:c r="P254" s="5" t="str">
        <x:f>INDEX('300题规划'!$Y$2:$Y$301,MATCH(B254,'300题规划'!$A$2:$A$301,0))</x:f>
        <x:v>OpenSees</x:v>
      </x:c>
      <x:c r="Q254" s="5" t="str">
        <x:f>INDEX('300题规划'!$AB$2:$AB$301,MATCH(B254,'300题规划'!$A$2:$A$301,0))</x:f>
        <x:v>待逐题验证</x:v>
      </x:c>
    </x:row>
    <x:row r="255" ht="54" customHeight="1">
      <x:c r="A255" s="27" t="str">
        <x:v>M-MM-054</x:v>
      </x:c>
      <x:c r="B255" s="11" t="str">
        <x:v>MM-054</x:v>
      </x:c>
      <x:c r="C255" s="11" t="str">
        <x:v>两端挑檐不等跨门架</x:v>
      </x:c>
      <x:c r="D255" s="11" t="str">
        <x:v>门式刚架</x:v>
      </x:c>
      <x:c r="E255" s="11" t="str">
        <x:v>2D</x:v>
      </x:c>
      <x:c r="F255" s="11" t="str">
        <x:v>L3</x:v>
      </x:c>
      <x:c r="G255" s="11" t="str">
        <x:v>几何：柱线x=0、12、27m，柱高7m；屋面梁由x=-2连续到30m，左右各有2m和3m挑檐；边界：三柱脚固定；荷载：D主跨屋面向下6kN/m，L仅两挑檐向下7kN/m，W右柱顶Fx=12kN；组合D+L、D+W；属性：外柱C1、中柱C2、主梁B1、挑檐B2，材料M1。</x:v>
      </x:c>
      <x:c r="H255" s="11" t="str">
        <x:v>结构柱轴线与屋面端点分开，构件角色和两个悬段载荷分别关联。</x:v>
      </x:c>
      <x:c r="I255" s="11" t="str">
        <x:v>无</x:v>
      </x:c>
      <x:c r="J255" s="11" t="str">
        <x:v>无</x:v>
      </x:c>
      <x:c r="K255" s="11" t="str">
        <x:v>不等跨门架增加两端独立挑檐和挑檐荷载工况。</x:v>
      </x:c>
      <x:c r="L255" s="11" t="str">
        <x:v>多组合执行契约需验证；本题新增几何/属性与真值均待独立核验；材料截面代号须在本题附录定值。</x:v>
      </x:c>
      <x:c r="M255" s="11" t="str">
        <x:v>逐字段材料/截面数值及单位；完整支承自由度、荷载坐标与结果观测点；完整工况/组合系数表</x:v>
      </x:c>
      <x:c r="N255" s="11" t="str">
        <x:v>独立规划骨架；可执行模型/数值真值待生成</x:v>
      </x:c>
      <x:c r="O255" s="30" t="n">
        <x:f>COUNTIFS('300题规划'!$C$2:$C$301,A255)</x:f>
        <x:v>1</x:v>
      </x:c>
      <x:c r="P255" s="5" t="str">
        <x:f>INDEX('300题规划'!$Y$2:$Y$301,MATCH(B255,'300题规划'!$A$2:$A$301,0))</x:f>
        <x:v>OpenSees</x:v>
      </x:c>
      <x:c r="Q255" s="5" t="str">
        <x:f>INDEX('300题规划'!$AB$2:$AB$301,MATCH(B255,'300题规划'!$A$2:$A$301,0))</x:f>
        <x:v>待逐题验证</x:v>
      </x:c>
    </x:row>
    <x:row r="256" ht="54" customHeight="1">
      <x:c r="A256" s="28" t="str">
        <x:v>M-MM-055</x:v>
      </x:c>
      <x:c r="B256" s="6" t="str">
        <x:v>MM-055</x:v>
      </x:c>
      <x:c r="C256" s="6" t="str">
        <x:v>上层仅右跨的退台钢框架</x:v>
      </x:c>
      <x:c r="D256" s="6" t="str">
        <x:v>平面钢框架</x:v>
      </x:c>
      <x:c r="E256" s="6" t="str">
        <x:v>2D</x:v>
      </x:c>
      <x:c r="F256" s="6" t="str">
        <x:v>L3</x:v>
      </x:c>
      <x:c r="G256" s="6" t="str">
        <x:v>几何：下层柱线x=0、6、10m，标高3.6m；上层仅保留x=6、10m两柱及4m跨梁，顶标高7.2m；边界：三底柱脚固定、梁柱刚接；荷载：下层两梁向下60kN/m，上层梁向下48kN/m；属性：钢材M1、柱C1、梁B1。</x:v>
      </x:c>
      <x:c r="H256" s="6" t="str">
        <x:v>上层退台在右侧，不能根据下层网格补齐左上框架。</x:v>
      </x:c>
      <x:c r="I256" s="6" t="str">
        <x:v>frame-2story-1bay-static</x:v>
      </x:c>
      <x:c r="J256" s="6" t="str">
        <x:v>frame-2s1b-6m-10k</x:v>
      </x:c>
      <x:c r="K256" s="6" t="str">
        <x:v>两层单跨改为下层两跨、上层右侧单跨，层间拓扑不同。</x:v>
      </x:c>
      <x:c r="L256" s="6" t="str">
        <x:v>基础工具；本题新增几何/属性与真值均待独立核验；材料截面代号须在本题附录定值。</x:v>
      </x:c>
      <x:c r="M256" s="6" t="str">
        <x:v>逐字段材料/截面数值及单位；完整支承自由度、荷载坐标与结果观测点</x:v>
      </x:c>
      <x:c r="N256" s="6" t="str">
        <x:v>独立规划骨架；可执行模型/数值真值待生成</x:v>
      </x:c>
      <x:c r="O256" s="30" t="n">
        <x:f>COUNTIFS('300题规划'!$C$2:$C$301,A256)</x:f>
        <x:v>1</x:v>
      </x:c>
      <x:c r="P256" s="5" t="str">
        <x:f>INDEX('300题规划'!$Y$2:$Y$301,MATCH(B256,'300题规划'!$A$2:$A$301,0))</x:f>
        <x:v>OpenSees</x:v>
      </x:c>
      <x:c r="Q256" s="5" t="str">
        <x:f>INDEX('300题规划'!$AB$2:$AB$301,MATCH(B256,'300题规划'!$A$2:$A$301,0))</x:f>
        <x:v>待逐题验证</x:v>
      </x:c>
    </x:row>
    <x:row r="257" ht="54" customHeight="1">
      <x:c r="A257" s="27" t="str">
        <x:v>M-MM-056</x:v>
      </x:c>
      <x:c r="B257" s="11" t="str">
        <x:v>MM-056</x:v>
      </x:c>
      <x:c r="C257" s="11" t="str">
        <x:v>屋面带下挂刚接短柱的工业框架</x:v>
      </x:c>
      <x:c r="D257" s="11" t="str">
        <x:v>平面钢框架</x:v>
      </x:c>
      <x:c r="E257" s="11" t="str">
        <x:v>2D</x:v>
      </x:c>
      <x:c r="F257" s="11" t="str">
        <x:v>L3</x:v>
      </x:c>
      <x:c r="G257" s="11" t="str">
        <x:v>几何：24m跨、12m高平顶单层框架；屋面中点向下接3m刚接短柱至(12,9)m；边界：两外柱脚固定，短柱下端自由；荷载：左半屋面向下36kN/m、右半18kN/m，短柱自由端Fz=-98、Fx=10kN；属性：主体柱C1、屋面B1、短柱C2，材料M1。</x:v>
      </x:c>
      <x:c r="H257" s="11" t="str">
        <x:v>建筑图中的下挂构件被明确标为结构，不能随设备轮廓过滤。</x:v>
      </x:c>
      <x:c r="I257" s="11" t="str">
        <x:v>frame-industrial-heavy</x:v>
      </x:c>
      <x:c r="J257" s="11" t="str">
        <x:v>frame-industrial-24m-12m-crane10t</x:v>
      </x:c>
      <x:c r="K257" s="11" t="str">
        <x:v>柱顶吊车力改为屋面中点下挂短柱受载，并使用非对称屋面荷载。</x:v>
      </x:c>
      <x:c r="L257" s="11" t="str">
        <x:v>基础工具；本题新增几何/属性与真值均待独立核验；材料截面代号须在本题附录定值。</x:v>
      </x:c>
      <x:c r="M257" s="11" t="str">
        <x:v>逐字段材料/截面数值及单位；完整支承自由度、荷载坐标与结果观测点</x:v>
      </x:c>
      <x:c r="N257" s="11" t="str">
        <x:v>独立规划骨架；可执行模型/数值真值待生成</x:v>
      </x:c>
      <x:c r="O257" s="30" t="n">
        <x:f>COUNTIFS('300题规划'!$C$2:$C$301,A257)</x:f>
        <x:v>1</x:v>
      </x:c>
      <x:c r="P257" s="5" t="str">
        <x:f>INDEX('300题规划'!$Y$2:$Y$301,MATCH(B257,'300题规划'!$A$2:$A$301,0))</x:f>
        <x:v>OpenSees</x:v>
      </x:c>
      <x:c r="Q257" s="5" t="str">
        <x:f>INDEX('300题规划'!$AB$2:$AB$301,MATCH(B257,'300题规划'!$A$2:$A$301,0))</x:f>
        <x:v>待逐题验证</x:v>
      </x:c>
    </x:row>
    <x:row r="258" ht="54" customHeight="1">
      <x:c r="A258" s="28" t="str">
        <x:v>M-MM-057</x:v>
      </x:c>
      <x:c r="B258" s="6" t="str">
        <x:v>MM-057</x:v>
      </x:c>
      <x:c r="C258" s="6" t="str">
        <x:v>第二层缺右跨梁的三层框架</x:v>
      </x:c>
      <x:c r="D258" s="6" t="str">
        <x:v>平面钢框架</x:v>
      </x:c>
      <x:c r="E258" s="6" t="str">
        <x:v>2D</x:v>
      </x:c>
      <x:c r="F258" s="6" t="str">
        <x:v>L3</x:v>
      </x:c>
      <x:c r="G258" s="6" t="str">
        <x:v>几何：柱线x=0、6、12m，三层各3.6m，三条柱线完整；第一与第三层梁两跨均有，第二层仅左跨梁；边界：三柱脚固定、实际梁柱刚接；荷载：实际梁均向下10kN/m，右侧三个楼层节点依次Fx=10、15、20kN；属性：钢材M1、柱C1、梁B1。</x:v>
      </x:c>
      <x:c r="H258" s="6" t="str">
        <x:v>缺梁层的轴网线不可当成梁，侧力节点仍存在于连续柱上。</x:v>
      </x:c>
      <x:c r="I258" s="6" t="str">
        <x:v>std-frame-3s2b-wind</x:v>
      </x:c>
      <x:c r="J258" s="6" t="str">
        <x:v>frame-3s2b-6m-10k-wind</x:v>
      </x:c>
      <x:c r="K258" s="6" t="str">
        <x:v>规则三层两跨框架删除第二层右跨梁，保留该层侧力节点。</x:v>
      </x:c>
      <x:c r="L258" s="6" t="str">
        <x:v>基础工具；本题新增几何/属性与真值均待独立核验；材料截面代号须在本题附录定值。</x:v>
      </x:c>
      <x:c r="M258" s="6" t="str">
        <x:v>逐字段材料/截面数值及单位；完整支承自由度、荷载坐标与结果观测点</x:v>
      </x:c>
      <x:c r="N258" s="6" t="str">
        <x:v>独立规划骨架；可执行模型/数值真值待生成</x:v>
      </x:c>
      <x:c r="O258" s="30" t="n">
        <x:f>COUNTIFS('300题规划'!$C$2:$C$301,A258)</x:f>
        <x:v>1</x:v>
      </x:c>
      <x:c r="P258" s="5" t="str">
        <x:f>INDEX('300题规划'!$Y$2:$Y$301,MATCH(B258,'300题规划'!$A$2:$A$301,0))</x:f>
        <x:v>OpenSees</x:v>
      </x:c>
      <x:c r="Q258" s="5" t="str">
        <x:f>INDEX('300题规划'!$AB$2:$AB$301,MATCH(B258,'300题规划'!$A$2:$A$301,0))</x:f>
        <x:v>待逐题验证</x:v>
      </x:c>
    </x:row>
    <x:row r="259" ht="54" customHeight="1">
      <x:c r="A259" s="27" t="str">
        <x:v>M-MM-058</x:v>
      </x:c>
      <x:c r="B259" s="11" t="str">
        <x:v>MM-058</x:v>
      </x:c>
      <x:c r="C259" s="11" t="str">
        <x:v>顶梁右侧外伸的裁切框架</x:v>
      </x:c>
      <x:c r="D259" s="11" t="str">
        <x:v>平面钢框架</x:v>
      </x:c>
      <x:c r="E259" s="11" t="str">
        <x:v>2D</x:v>
      </x:c>
      <x:c r="F259" s="11" t="str">
        <x:v>L2</x:v>
      </x:c>
      <x:c r="G259" s="11" t="str">
        <x:v>几何：柱线x=0、6m、高4m，顶梁从x=0延伸至8m，右侧2m自由外伸；边界：两柱脚固定；荷载：梁全长向下8kN/m，右自由端Fx=50kN；属性：钢材M1、柱C1、梁B1；首轮图裁去两柱脚符号，第二轮补全。</x:v>
      </x:c>
      <x:c r="H259" s="11" t="str">
        <x:v>先确认裁去的支承，再辨认柱顶之外的自由梁端。</x:v>
      </x:c>
      <x:c r="I259" s="11" t="str">
        <x:v>std-generic-single-bay-lateral</x:v>
      </x:c>
      <x:c r="J259" s="11" t="str">
        <x:v>generic-single-bay-6m-4m-lateral50</x:v>
      </x:c>
      <x:c r="K259" s="11" t="str">
        <x:v>单跨框架增加顶梁外伸，水平力由柱顶移到外伸端。</x:v>
      </x:c>
      <x:c r="L259" s="11" t="str">
        <x:v>基础工具；本题新增几何/属性与真值均待独立核验；材料截面代号须在本题附录定值。</x:v>
      </x:c>
      <x:c r="M259" s="11" t="str">
        <x:v>逐字段材料/截面数值及单位；完整支承自由度、荷载坐标与结果观测点</x:v>
      </x:c>
      <x:c r="N259" s="11" t="str">
        <x:v>独立规划骨架；可执行模型/数值真值待生成</x:v>
      </x:c>
      <x:c r="O259" s="30" t="n">
        <x:f>COUNTIFS('300题规划'!$C$2:$C$301,A259)</x:f>
        <x:v>1</x:v>
      </x:c>
      <x:c r="P259" s="5" t="str">
        <x:f>INDEX('300题规划'!$Y$2:$Y$301,MATCH(B259,'300题规划'!$A$2:$A$301,0))</x:f>
        <x:v>OpenSees</x:v>
      </x:c>
      <x:c r="Q259" s="5" t="str">
        <x:f>INDEX('300题规划'!$AB$2:$AB$301,MATCH(B259,'300题规划'!$A$2:$A$301,0))</x:f>
        <x:v>待逐题验证</x:v>
      </x:c>
    </x:row>
    <x:row r="260" ht="52.5" customHeight="1">
      <x:c r="A260" s="28" t="str">
        <x:v>M-MM-059</x:v>
      </x:c>
      <x:c r="B260" s="6" t="str">
        <x:v>MM-059</x:v>
      </x:c>
      <x:c r="C260" s="6" t="str">
        <x:v>单层两跨单侧受荷钢框架</x:v>
      </x:c>
      <x:c r="D260" s="6" t="str">
        <x:v>平面钢框架</x:v>
      </x:c>
      <x:c r="E260" s="6" t="str">
        <x:v>2D</x:v>
      </x:c>
      <x:c r="F260" s="6" t="str">
        <x:v>L2</x:v>
      </x:c>
      <x:c r="G260" s="6" t="str">
        <x:v>几何：柱线x=0、6、9m，单层标高4.5m，两跨梁连续；边界：三柱脚固定、梁柱刚接；荷载：左跨向下48kN/m，右跨无载；属性：钢材M1、柱C1、梁B1。</x:v>
      </x:c>
      <x:c r="H260" s="6" t="str">
        <x:v>建筑DXF给完整无载右跨，不能因没有箭头忽略它。</x:v>
      </x:c>
      <x:c r="I260" s="6" t="str">
        <x:v>re-frame-simple-1s1b-mechanics</x:v>
      </x:c>
      <x:c r="J260" s="6" t="str">
        <x:v>frame-simple-1s1b</x:v>
      </x:c>
      <x:c r="K260" s="6" t="str">
        <x:v>单跨框架增加右侧无载跨和第三根柱，改变刚接约束。</x:v>
      </x:c>
      <x:c r="L260" s="6" t="str">
        <x:v>基础工具；本题新增几何/属性与真值均待独立核验；材料截面代号须在本题附录定值。</x:v>
      </x:c>
      <x:c r="M260" s="6" t="str">
        <x:v>逐字段材料/截面数值及单位；完整支承自由度、荷载坐标与结果观测点</x:v>
      </x:c>
      <x:c r="N260" s="6" t="str">
        <x:v>独立规划骨架；可执行模型/数值真值待生成</x:v>
      </x:c>
      <x:c r="O260" s="30" t="n">
        <x:f>COUNTIFS('300题规划'!$C$2:$C$301,A260)</x:f>
        <x:v>1</x:v>
      </x:c>
      <x:c r="P260" s="5" t="str">
        <x:f>INDEX('300题规划'!$Y$2:$Y$301,MATCH(B260,'300题规划'!$A$2:$A$301,0))</x:f>
        <x:v>OpenSees</x:v>
      </x:c>
      <x:c r="Q260" s="5" t="str">
        <x:f>INDEX('300题规划'!$AB$2:$AB$301,MATCH(B260,'300题规划'!$A$2:$A$301,0))</x:f>
        <x:v>待逐题验证</x:v>
      </x:c>
    </x:row>
    <x:row r="261" ht="54" customHeight="1">
      <x:c r="A261" s="27" t="str">
        <x:v>M-MM-060</x:v>
      </x:c>
      <x:c r="B261" s="11" t="str">
        <x:v>MM-060</x:v>
      </x:c>
      <x:c r="C261" s="11" t="str">
        <x:v>局部斜屋面两层钢框架</x:v>
      </x:c>
      <x:c r="D261" s="11" t="str">
        <x:v>平面钢框架</x:v>
      </x:c>
      <x:c r="E261" s="11" t="str">
        <x:v>2D</x:v>
      </x:c>
      <x:c r="F261" s="11" t="str">
        <x:v>L3</x:v>
      </x:c>
      <x:c r="G261" s="11" t="str">
        <x:v>几何：柱线x=0、5.4、11.4m，第一层标高3.6m；第二层左中节点z=7.2m、右节点z=8.4m，右跨顶梁倾斜；边界：三柱脚固定、梁柱刚接；荷载：所有梁按实际长度D向下10、L向下8kN/m，组合1.2D+1.4L；属性：钢材M1、柱C1、梁B1。</x:v>
      </x:c>
      <x:c r="H261" s="11" t="str">
        <x:v>同层屋面两个标高且一根斜梁，荷载必须按实际长度全局竖向施加。</x:v>
      </x:c>
      <x:c r="I261" s="11" t="str">
        <x:v>re-dxf-frame-complex-2s2b</x:v>
      </x:c>
      <x:c r="J261" s="11" t="str">
        <x:v>frame-complex-2s2b</x:v>
      </x:c>
      <x:c r="K261" s="11" t="str">
        <x:v>水平顶层框架改成局部斜屋面，右上柱与梁连接标高改变。</x:v>
      </x:c>
      <x:c r="L261" s="11" t="str">
        <x:v>基础工具；本题新增几何/属性与真值均待独立核验；材料截面代号须在本题附录定值。斜杆全局荷载和局部轴适配待验证。</x:v>
      </x:c>
      <x:c r="M261" s="11" t="str">
        <x:v>逐字段材料/截面数值及单位；完整支承自由度、荷载坐标与结果观测点；完整工况/组合系数表</x:v>
      </x:c>
      <x:c r="N261" s="11" t="str">
        <x:v>独立规划骨架；可执行模型/数值真值待生成</x:v>
      </x:c>
      <x:c r="O261" s="30" t="n">
        <x:f>COUNTIFS('300题规划'!$C$2:$C$301,A261)</x:f>
        <x:v>1</x:v>
      </x:c>
      <x:c r="P261" s="5" t="str">
        <x:f>INDEX('300题规划'!$Y$2:$Y$301,MATCH(B261,'300题规划'!$A$2:$A$301,0))</x:f>
        <x:v>OpenSees</x:v>
      </x:c>
      <x:c r="Q261" s="5" t="str">
        <x:f>INDEX('300题规划'!$AB$2:$AB$301,MATCH(B261,'300题规划'!$A$2:$A$301,0))</x:f>
        <x:v>待逐题验证</x:v>
      </x:c>
    </x:row>
    <x:row r="262" ht="52.5" customHeight="1">
      <x:c r="A262" s="28" t="str">
        <x:v>M-MM-061</x:v>
      </x:c>
      <x:c r="B262" s="6" t="str">
        <x:v>MM-061</x:v>
      </x:c>
      <x:c r="C262" s="6" t="str">
        <x:v>三种柱脚边界的不等跨框架</x:v>
      </x:c>
      <x:c r="D262" s="6" t="str">
        <x:v>平面钢框架</x:v>
      </x:c>
      <x:c r="E262" s="6" t="str">
        <x:v>2D</x:v>
      </x:c>
      <x:c r="F262" s="6" t="str">
        <x:v>L3</x:v>
      </x:c>
      <x:c r="G262" s="6" t="str">
        <x:v>几何：两层框架，跨长4.5、7.5m，层高3.6、4.2m；边界：左柱脚铰、中柱脚固定、右柱脚仅竖向滚支；荷载：所有楼层梁向下10kN/m，顶层右节点Fx=20kN；属性：钢材M1、柱C1、梁B1。</x:v>
      </x:c>
      <x:c r="H262" s="6" t="str">
        <x:v>三柱脚的不同图符不能用统一约束替代，右柱水平位移应可发生。</x:v>
      </x:c>
      <x:c r="I262" s="6" t="str">
        <x:v>无</x:v>
      </x:c>
      <x:c r="J262" s="6" t="str">
        <x:v>无</x:v>
      </x:c>
      <x:c r="K262" s="6" t="str">
        <x:v>全固定柱脚改为铰/固/滚混合约束，侧向和重力传力均变化。</x:v>
      </x:c>
      <x:c r="L262" s="6" t="str">
        <x:v>基础工具；本题新增几何/属性与真值均待独立核验；材料截面代号须在本题附录定值。</x:v>
      </x:c>
      <x:c r="M262" s="6" t="str">
        <x:v>逐字段材料/截面数值及单位；完整支承自由度、荷载坐标与结果观测点</x:v>
      </x:c>
      <x:c r="N262" s="6" t="str">
        <x:v>独立规划骨架；可执行模型/数值真值待生成</x:v>
      </x:c>
      <x:c r="O262" s="30" t="n">
        <x:f>COUNTIFS('300题规划'!$C$2:$C$301,A262)</x:f>
        <x:v>1</x:v>
      </x:c>
      <x:c r="P262" s="5" t="str">
        <x:f>INDEX('300题规划'!$Y$2:$Y$301,MATCH(B262,'300题规划'!$A$2:$A$301,0))</x:f>
        <x:v>OpenSees</x:v>
      </x:c>
      <x:c r="Q262" s="5" t="str">
        <x:f>INDEX('300题规划'!$AB$2:$AB$301,MATCH(B262,'300题规划'!$A$2:$A$301,0))</x:f>
        <x:v>待逐题验证</x:v>
      </x:c>
    </x:row>
    <x:row r="263" ht="54" customHeight="1">
      <x:c r="A263" s="27" t="str">
        <x:v>M-MM-062</x:v>
      </x:c>
      <x:c r="B263" s="11" t="str">
        <x:v>MM-062</x:v>
      </x:c>
      <x:c r="C263" s="11" t="str">
        <x:v>退台上层左侧悬挑框架</x:v>
      </x:c>
      <x:c r="D263" s="11" t="str">
        <x:v>平面钢框架</x:v>
      </x:c>
      <x:c r="E263" s="11" t="str">
        <x:v>2D</x:v>
      </x:c>
      <x:c r="F263" s="11" t="str">
        <x:v>L3</x:v>
      </x:c>
      <x:c r="G263" s="11" t="str">
        <x:v>几何：下层两跨各6m、标高3.6m；上层仅x=0、6m两柱，顶标高6.9m，顶梁从x=-2延伸到6m；边界：三底柱脚固定；荷载：下层梁向下10kN/m，顶层主跨向下8kN/m、左悬挑段12kN/m；属性：M1、柱C1、主梁B1、悬段B2。</x:v>
      </x:c>
      <x:c r="H263" s="11" t="str">
        <x:v>上层退台与左向悬挑同时出现，空缺右跨不得补齐。</x:v>
      </x:c>
      <x:c r="I263" s="11" t="str">
        <x:v>无</x:v>
      </x:c>
      <x:c r="J263" s="11" t="str">
        <x:v>无</x:v>
      </x:c>
      <x:c r="K263" s="11" t="str">
        <x:v>退台框架上层新增左悬段和独立属性/载荷区。</x:v>
      </x:c>
      <x:c r="L263" s="11" t="str">
        <x:v>基础工具；本题新增几何/属性与真值均待独立核验；材料截面代号须在本题附录定值。</x:v>
      </x:c>
      <x:c r="M263" s="11" t="str">
        <x:v>逐字段材料/截面数值及单位；完整支承自由度、荷载坐标与结果观测点</x:v>
      </x:c>
      <x:c r="N263" s="11" t="str">
        <x:v>独立规划骨架；可执行模型/数值真值待生成</x:v>
      </x:c>
      <x:c r="O263" s="30" t="n">
        <x:f>COUNTIFS('300题规划'!$C$2:$C$301,A263)</x:f>
        <x:v>1</x:v>
      </x:c>
      <x:c r="P263" s="5" t="str">
        <x:f>INDEX('300题规划'!$Y$2:$Y$301,MATCH(B263,'300题规划'!$A$2:$A$301,0))</x:f>
        <x:v>OpenSees</x:v>
      </x:c>
      <x:c r="Q263" s="5" t="str">
        <x:f>INDEX('300题规划'!$AB$2:$AB$301,MATCH(B263,'300题规划'!$A$2:$A$301,0))</x:f>
        <x:v>待逐题验证</x:v>
      </x:c>
    </x:row>
    <x:row r="264" ht="54" customHeight="1">
      <x:c r="A264" s="28" t="str">
        <x:v>M-MM-063</x:v>
      </x:c>
      <x:c r="B264" s="6" t="str">
        <x:v>MM-063</x:v>
      </x:c>
      <x:c r="C264" s="6" t="str">
        <x:v>逐层反向单斜撑框架</x:v>
      </x:c>
      <x:c r="D264" s="6" t="str">
        <x:v>平面钢框架</x:v>
      </x:c>
      <x:c r="E264" s="6" t="str">
        <x:v>2D</x:v>
      </x:c>
      <x:c r="F264" s="6" t="str">
        <x:v>L3</x:v>
      </x:c>
      <x:c r="G264" s="6" t="str">
        <x:v>几何：两层单跨6m、每层3.6m；第一层斜撑连左下至右上，第二层斜撑连右下至左上，其余为刚接梁柱；边界：两柱脚固定，斜撑仅承轴力；荷载：两层梁向下10kN/m，顶层右节点Fx=20kN；属性：M1、柱C1、梁B1、支撑A1。</x:v>
      </x:c>
      <x:c r="H264" s="6" t="str">
        <x:v>两根斜撑分属不同楼层且反向，不能在首层生成X撑。</x:v>
      </x:c>
      <x:c r="I264" s="6" t="str">
        <x:v>无</x:v>
      </x:c>
      <x:c r="J264" s="6" t="str">
        <x:v>无</x:v>
      </x:c>
      <x:c r="K264" s="6" t="str">
        <x:v>首层X撑改为两层各一根反向斜撑，支撑节点连接实质变化。</x:v>
      </x:c>
      <x:c r="L264" s="6" t="str">
        <x:v>混合单元工具链需验证；本题新增几何/属性与真值均待独立核验；材料截面代号须在本题附录定值。梁柱与轴力杆混合单元链路待验证。</x:v>
      </x:c>
      <x:c r="M264" s="6" t="str">
        <x:v>逐字段材料/截面数值及单位；完整支承自由度、荷载坐标与结果观测点</x:v>
      </x:c>
      <x:c r="N264" s="6" t="str">
        <x:v>独立规划骨架；可执行模型/数值真值待生成</x:v>
      </x:c>
      <x:c r="O264" s="30" t="n">
        <x:f>COUNTIFS('300题规划'!$C$2:$C$301,A264)</x:f>
        <x:v>1</x:v>
      </x:c>
      <x:c r="P264" s="5" t="str">
        <x:f>INDEX('300题规划'!$Y$2:$Y$301,MATCH(B264,'300题规划'!$A$2:$A$301,0))</x:f>
        <x:v>OpenSees</x:v>
      </x:c>
      <x:c r="Q264" s="5" t="str">
        <x:f>INDEX('300题规划'!$AB$2:$AB$301,MATCH(B264,'300题规划'!$A$2:$A$301,0))</x:f>
        <x:v>待逐题验证</x:v>
      </x:c>
    </x:row>
    <x:row r="265" ht="54" customHeight="1">
      <x:c r="A265" s="27" t="str">
        <x:v>M-MM-064</x:v>
      </x:c>
      <x:c r="B265" s="11" t="str">
        <x:v>MM-064</x:v>
      </x:c>
      <x:c r="C265" s="11" t="str">
        <x:v>两层左右交错悬挑框架</x:v>
      </x:c>
      <x:c r="D265" s="11" t="str">
        <x:v>平面钢框架</x:v>
      </x:c>
      <x:c r="E265" s="11" t="str">
        <x:v>2D</x:v>
      </x:c>
      <x:c r="F265" s="11" t="str">
        <x:v>L3</x:v>
      </x:c>
      <x:c r="G265" s="11" t="str">
        <x:v>几何：两层单跨6m、层高3.6m；第一层梁向右外伸1.5m，第二层梁向左外伸2m；边界：两柱脚固定、梁柱及悬段刚接；荷载：主跨梁均向下10kN/m，下层右悬段6、上层左悬段12kN/m；属性：M1、柱C1、主梁B1、悬段B2。</x:v>
      </x:c>
      <x:c r="H265" s="11" t="str">
        <x:v>上下楼层的悬挑方向相反，不能把第一层复制到第二层。</x:v>
      </x:c>
      <x:c r="I265" s="11" t="str">
        <x:v>无</x:v>
      </x:c>
      <x:c r="J265" s="11" t="str">
        <x:v>无</x:v>
      </x:c>
      <x:c r="K265" s="11" t="str">
        <x:v>原同侧双层外挑改为上下层交错方向外挑。</x:v>
      </x:c>
      <x:c r="L265" s="11" t="str">
        <x:v>基础工具；本题新增几何/属性与真值均待独立核验；材料截面代号须在本题附录定值。</x:v>
      </x:c>
      <x:c r="M265" s="11" t="str">
        <x:v>逐字段材料/截面数值及单位；完整支承自由度、荷载坐标与结果观测点</x:v>
      </x:c>
      <x:c r="N265" s="11" t="str">
        <x:v>独立规划骨架；可执行模型/数值真值待生成</x:v>
      </x:c>
      <x:c r="O265" s="30" t="n">
        <x:f>COUNTIFS('300题规划'!$C$2:$C$301,A265)</x:f>
        <x:v>1</x:v>
      </x:c>
      <x:c r="P265" s="5" t="str">
        <x:f>INDEX('300题规划'!$Y$2:$Y$301,MATCH(B265,'300题规划'!$A$2:$A$301,0))</x:f>
        <x:v>OpenSees</x:v>
      </x:c>
      <x:c r="Q265" s="5" t="str">
        <x:f>INDEX('300题规划'!$AB$2:$AB$301,MATCH(B265,'300题规划'!$A$2:$A$301,0))</x:f>
        <x:v>待逐题验证</x:v>
      </x:c>
    </x:row>
    <x:row r="266" ht="54" customHeight="1">
      <x:c r="A266" s="28" t="str">
        <x:v>M-MM-065</x:v>
      </x:c>
      <x:c r="B266" s="6" t="str">
        <x:v>MM-065</x:v>
      </x:c>
      <x:c r="C266" s="6" t="str">
        <x:v>顶层取消中柱的三层框架</x:v>
      </x:c>
      <x:c r="D266" s="6" t="str">
        <x:v>平面钢框架</x:v>
      </x:c>
      <x:c r="E266" s="6" t="str">
        <x:v>2D</x:v>
      </x:c>
      <x:c r="F266" s="6" t="str">
        <x:v>L3</x:v>
      </x:c>
      <x:c r="G266" s="6" t="str">
        <x:v>几何：三层各3.3m、柱线x=0、5、10m；中柱只到第二层z=6.6m，顶层屋面梁跨10m且在x=5m连续无支承；边界：三柱脚固定、实际梁柱刚接；荷载：一二层梁向下12、10kN/m，顶层全梁6kN/m且中点向下25kN；属性：M1、柱C1、梁B1。</x:v>
      </x:c>
      <x:c r="H266" s="6" t="str">
        <x:v>顶层中点是荷载与连续梁节点，不是中柱支点。</x:v>
      </x:c>
      <x:c r="I266" s="6" t="str">
        <x:v>无</x:v>
      </x:c>
      <x:c r="J266" s="6" t="str">
        <x:v>无</x:v>
      </x:c>
      <x:c r="K266" s="6" t="str">
        <x:v>三层规则框架删除顶层中柱，并在大跨中点增加点载。</x:v>
      </x:c>
      <x:c r="L266" s="6" t="str">
        <x:v>基础工具；本题新增几何/属性与真值均待独立核验；材料截面代号须在本题附录定值。</x:v>
      </x:c>
      <x:c r="M266" s="6" t="str">
        <x:v>逐字段材料/截面数值及单位；完整支承自由度、荷载坐标与结果观测点</x:v>
      </x:c>
      <x:c r="N266" s="6" t="str">
        <x:v>独立规划骨架；可执行模型/数值真值待生成</x:v>
      </x:c>
      <x:c r="O266" s="30" t="n">
        <x:f>COUNTIFS('300题规划'!$C$2:$C$301,A266)</x:f>
        <x:v>1</x:v>
      </x:c>
      <x:c r="P266" s="5" t="str">
        <x:f>INDEX('300题规划'!$Y$2:$Y$301,MATCH(B266,'300题规划'!$A$2:$A$301,0))</x:f>
        <x:v>OpenSees</x:v>
      </x:c>
      <x:c r="Q266" s="5" t="str">
        <x:f>INDEX('300题规划'!$AB$2:$AB$301,MATCH(B266,'300题规划'!$A$2:$A$301,0))</x:f>
        <x:v>待逐题验证</x:v>
      </x:c>
    </x:row>
    <x:row r="267" ht="54" customHeight="1">
      <x:c r="A267" s="27" t="str">
        <x:v>M-MM-066</x:v>
      </x:c>
      <x:c r="B267" s="11" t="str">
        <x:v>MM-066</x:v>
      </x:c>
      <x:c r="C267" s="11" t="str">
        <x:v>跨内截面分界钢框架</x:v>
      </x:c>
      <x:c r="D267" s="11" t="str">
        <x:v>平面钢框架</x:v>
      </x:c>
      <x:c r="E267" s="11" t="str">
        <x:v>2D</x:v>
      </x:c>
      <x:c r="F267" s="11" t="str">
        <x:v>L3</x:v>
      </x:c>
      <x:c r="G267" s="11" t="str">
        <x:v>几何：两层两跨各6m、层高3.6m，左下层梁在x=3m增设属性分界点；边界：三柱脚固定；荷载：所有梁向下10kN/m，顶层中节点Fx=30kN；属性：边柱C1、中柱C2；左下梁前半B1后半B2，右下B3，左上B3右上B1，材料M1。</x:v>
      </x:c>
      <x:c r="H267" s="11" t="str">
        <x:v>截面索引不只按整根梁分配，一根梁内还需正确分段。</x:v>
      </x:c>
      <x:c r="I267" s="11" t="str">
        <x:v>无</x:v>
      </x:c>
      <x:c r="J267" s="11" t="str">
        <x:v>无</x:v>
      </x:c>
      <x:c r="K267" s="11" t="str">
        <x:v>整梁角色分组改为跨内分段与跨层交错截面分组。</x:v>
      </x:c>
      <x:c r="L267" s="11" t="str">
        <x:v>基础工具；本题新增几何/属性与真值均待独立核验；材料截面代号须在本题附录定值。</x:v>
      </x:c>
      <x:c r="M267" s="11" t="str">
        <x:v>逐字段材料/截面数值及单位；完整支承自由度、荷载坐标与结果观测点</x:v>
      </x:c>
      <x:c r="N267" s="11" t="str">
        <x:v>独立规划骨架；可执行模型/数值真值待生成</x:v>
      </x:c>
      <x:c r="O267" s="30" t="n">
        <x:f>COUNTIFS('300题规划'!$C$2:$C$301,A267)</x:f>
        <x:v>1</x:v>
      </x:c>
      <x:c r="P267" s="5" t="str">
        <x:f>INDEX('300题规划'!$Y$2:$Y$301,MATCH(B267,'300题规划'!$A$2:$A$301,0))</x:f>
        <x:v>OpenSees</x:v>
      </x:c>
      <x:c r="Q267" s="5" t="str">
        <x:f>INDEX('300题规划'!$AB$2:$AB$301,MATCH(B267,'300题规划'!$A$2:$A$301,0))</x:f>
        <x:v>待逐题验证</x:v>
      </x:c>
    </x:row>
    <x:row r="268" ht="54" customHeight="1">
      <x:c r="A268" s="28" t="str">
        <x:v>M-MM-067</x:v>
      </x:c>
      <x:c r="B268" s="6" t="str">
        <x:v>MM-067</x:v>
      </x:c>
      <x:c r="C268" s="6" t="str">
        <x:v>下层无中柱的转换框架</x:v>
      </x:c>
      <x:c r="D268" s="6" t="str">
        <x:v>平面钢框架</x:v>
      </x:c>
      <x:c r="E268" s="6" t="str">
        <x:v>2D</x:v>
      </x:c>
      <x:c r="F268" s="6" t="str">
        <x:v>L3</x:v>
      </x:c>
      <x:c r="G268" s="6" t="str">
        <x:v>几何：两层总高7.2m、两跨各5m；底层只有x=0、10m两柱，z=3.6m为10m连续转换梁；上层在x=0、5、10m设三柱并与顶梁连接；边界：底两柱脚固定，转换梁中点与上中柱刚接；荷载：两层实际梁均向下10kN/m；属性：M1、柱C1、普通梁B1、转换梁B2。</x:v>
      </x:c>
      <x:c r="H268" s="6" t="str">
        <x:v>中柱只出现在上层，不能把它向下延伸成不存在的基础柱。</x:v>
      </x:c>
      <x:c r="I268" s="6" t="str">
        <x:v>无</x:v>
      </x:c>
      <x:c r="J268" s="6" t="str">
        <x:v>无</x:v>
      </x:c>
      <x:c r="K268" s="6" t="str">
        <x:v>缺上层中柱改为缺下层中柱，形成上柱通过转换梁传力的拓扑。</x:v>
      </x:c>
      <x:c r="L268" s="6" t="str">
        <x:v>机构与连通性需独立验证；本题新增几何/属性与真值均待独立核验；材料截面代号须在本题附录定值。</x:v>
      </x:c>
      <x:c r="M268" s="6" t="str">
        <x:v>逐字段材料/截面数值及单位；完整支承自由度、荷载坐标与结果观测点</x:v>
      </x:c>
      <x:c r="N268" s="6" t="str">
        <x:v>独立规划骨架；可执行模型/数值真值待生成</x:v>
      </x:c>
      <x:c r="O268" s="30" t="n">
        <x:f>COUNTIFS('300题规划'!$C$2:$C$301,A268)</x:f>
        <x:v>1</x:v>
      </x:c>
      <x:c r="P268" s="5" t="str">
        <x:f>INDEX('300题规划'!$Y$2:$Y$301,MATCH(B268,'300题规划'!$A$2:$A$301,0))</x:f>
        <x:v>OpenSees</x:v>
      </x:c>
      <x:c r="Q268" s="5" t="str">
        <x:f>INDEX('300题规划'!$AB$2:$AB$301,MATCH(B268,'300题规划'!$A$2:$A$301,0))</x:f>
        <x:v>待逐题验证</x:v>
      </x:c>
    </x:row>
    <x:row r="269" ht="52.5" customHeight="1">
      <x:c r="A269" s="27" t="str">
        <x:v>M-MM-068</x:v>
      </x:c>
      <x:c r="B269" s="11" t="str">
        <x:v>MM-068</x:v>
      </x:c>
      <x:c r="C269" s="11" t="str">
        <x:v>柱脚不等标高钢框架</x:v>
      </x:c>
      <x:c r="D269" s="11" t="str">
        <x:v>平面钢框架</x:v>
      </x:c>
      <x:c r="E269" s="11" t="str">
        <x:v>2D</x:v>
      </x:c>
      <x:c r="F269" s="11" t="str">
        <x:v>L2</x:v>
      </x:c>
      <x:c r="G269" s="11" t="str">
        <x:v>几何：两层单跨6m，楼层绝对标高2.1、5.7m；左柱底z=-1.5m、右柱底z=0m，两柱楼层连接点同标高；边界：两个实际柱底固定；荷载：两楼层梁向下10kN/m；属性：M1、柱C1、梁B1。</x:v>
      </x:c>
      <x:c r="H269" s="11" t="str">
        <x:v>左右柱脚标高不同，层高不能用同一数值统一覆盖。</x:v>
      </x:c>
      <x:c r="I269" s="11" t="str">
        <x:v>无</x:v>
      </x:c>
      <x:c r="J269" s="11" t="str">
        <x:v>无</x:v>
      </x:c>
      <x:c r="K269" s="11" t="str">
        <x:v>同一负基础标高改为左右基础错高，底层柱长与刚度不同。</x:v>
      </x:c>
      <x:c r="L269" s="11" t="str">
        <x:v>基础工具；本题新增几何/属性与真值均待独立核验；材料截面代号须在本题附录定值。</x:v>
      </x:c>
      <x:c r="M269" s="11" t="str">
        <x:v>逐字段材料/截面数值及单位；完整支承自由度、荷载坐标与结果观测点</x:v>
      </x:c>
      <x:c r="N269" s="11" t="str">
        <x:v>独立规划骨架；可执行模型/数值真值待生成</x:v>
      </x:c>
      <x:c r="O269" s="30" t="n">
        <x:f>COUNTIFS('300题规划'!$C$2:$C$301,A269)</x:f>
        <x:v>1</x:v>
      </x:c>
      <x:c r="P269" s="5" t="str">
        <x:f>INDEX('300题规划'!$Y$2:$Y$301,MATCH(B269,'300题规划'!$A$2:$A$301,0))</x:f>
        <x:v>OpenSees</x:v>
      </x:c>
      <x:c r="Q269" s="5" t="str">
        <x:f>INDEX('300题规划'!$AB$2:$AB$301,MATCH(B269,'300题规划'!$A$2:$A$301,0))</x:f>
        <x:v>待逐题验证</x:v>
      </x:c>
    </x:row>
    <x:row r="270" ht="54" customHeight="1">
      <x:c r="A270" s="28" t="str">
        <x:v>M-MM-069</x:v>
      </x:c>
      <x:c r="B270" s="6" t="str">
        <x:v>MM-069</x:v>
      </x:c>
      <x:c r="C270" s="6" t="str">
        <x:v>首层双侧阳台悬挑混凝土框架</x:v>
      </x:c>
      <x:c r="D270" s="6" t="str">
        <x:v>平面混凝土框架</x:v>
      </x:c>
      <x:c r="E270" s="6" t="str">
        <x:v>2D</x:v>
      </x:c>
      <x:c r="F270" s="6" t="str">
        <x:v>L3</x:v>
      </x:c>
      <x:c r="G270" s="6" t="str">
        <x:v>几何：两层单跨6m、每层3.6m；首层梁向左及右各外伸1.2m，顶层梁仅主跨；边界：两柱脚固定、梁柱刚接；荷载：两层主梁向下72kN/m，左右首层悬段分别向下15、20kN/m；属性：C30弹性材料，柱500×500mm，主梁300×600mm，悬段梁250×500mm。</x:v>
      </x:c>
      <x:c r="H270" s="6" t="str">
        <x:v>首层两个外挑端不对应附加柱，悬段截面与主梁不同。</x:v>
      </x:c>
      <x:c r="I270" s="6" t="str">
        <x:v>concrete-frame-2story-static</x:v>
      </x:c>
      <x:c r="J270" s="6" t="str">
        <x:v>concrete-frame-2s1b-6m-12k</x:v>
      </x:c>
      <x:c r="K270" s="6" t="str">
        <x:v>规则混凝土框架新增首层双侧阳台悬挑及不对称加载。</x:v>
      </x:c>
      <x:c r="L270" s="6" t="str">
        <x:v>基础工具；本题新增几何/属性与真值均待独立核验；材料截面代号须在本题附录定值。</x:v>
      </x:c>
      <x:c r="M270" s="6" t="str">
        <x:v>逐字段材料/截面数值及单位；完整支承自由度、荷载坐标与结果观测点</x:v>
      </x:c>
      <x:c r="N270" s="6" t="str">
        <x:v>独立规划骨架；可执行模型/数值真值待生成</x:v>
      </x:c>
      <x:c r="O270" s="30" t="n">
        <x:f>COUNTIFS('300题规划'!$C$2:$C$301,A270)</x:f>
        <x:v>1</x:v>
      </x:c>
      <x:c r="P270" s="5" t="str">
        <x:f>INDEX('300题规划'!$Y$2:$Y$301,MATCH(B270,'300题规划'!$A$2:$A$301,0))</x:f>
        <x:v>OpenSees</x:v>
      </x:c>
      <x:c r="Q270" s="5" t="str">
        <x:f>INDEX('300题规划'!$AB$2:$AB$301,MATCH(B270,'300题规划'!$A$2:$A$301,0))</x:f>
        <x:v>待逐题验证</x:v>
      </x:c>
    </x:row>
    <x:row r="271" ht="54" customHeight="1">
      <x:c r="A271" s="27" t="str">
        <x:v>M-MM-070</x:v>
      </x:c>
      <x:c r="B271" s="11" t="str">
        <x:v>MM-070</x:v>
      </x:c>
      <x:c r="C271" s="11" t="str">
        <x:v>中层斜柱混凝土框架</x:v>
      </x:c>
      <x:c r="D271" s="11" t="str">
        <x:v>平面混凝土框架</x:v>
      </x:c>
      <x:c r="E271" s="11" t="str">
        <x:v>2D</x:v>
      </x:c>
      <x:c r="F271" s="11" t="str">
        <x:v>L3</x:v>
      </x:c>
      <x:c r="G271" s="11" t="str">
        <x:v>几何：三层标高3.3、6.6、9.9m；右柱始终x=6m；左柱底至首层x=0m，第二层斜接到x=1m，第三层保持x=1m；各层左右柱顶间设梁；边界：两底柱脚固定；荷载：各梁按实际长度向下60kN/m；属性：C35、柱500×500mm、梁300×600mm。</x:v>
      </x:c>
      <x:c r="H271" s="11" t="str">
        <x:v>左柱在第二层倾斜且上两层跨度变小，不能按竖直柱阵列。</x:v>
      </x:c>
      <x:c r="I271" s="11" t="str">
        <x:v>concrete-frame-3story-opensees-static-en</x:v>
      </x:c>
      <x:c r="J271" s="11" t="str">
        <x:v>concrete-frame-3s1b-6m-10k</x:v>
      </x:c>
      <x:c r="K271" s="11" t="str">
        <x:v>普通直柱单跨框架改为中层斜柱与上层缩跨。</x:v>
      </x:c>
      <x:c r="L271" s="11" t="str">
        <x:v>基础工具；本题新增几何/属性与真值均待独立核验；材料截面代号须在本题附录定值。斜杆全局荷载和局部轴适配待验证。</x:v>
      </x:c>
      <x:c r="M271" s="11" t="str">
        <x:v>逐字段材料/截面数值及单位；完整支承自由度、荷载坐标与结果观测点</x:v>
      </x:c>
      <x:c r="N271" s="11" t="str">
        <x:v>独立规划骨架；可执行模型/数值真值待生成</x:v>
      </x:c>
      <x:c r="O271" s="30" t="n">
        <x:f>COUNTIFS('300题规划'!$C$2:$C$301,A271)</x:f>
        <x:v>1</x:v>
      </x:c>
      <x:c r="P271" s="5" t="str">
        <x:f>INDEX('300题规划'!$Y$2:$Y$301,MATCH(B271,'300题规划'!$A$2:$A$301,0))</x:f>
        <x:v>OpenSees</x:v>
      </x:c>
      <x:c r="Q271" s="5" t="str">
        <x:f>INDEX('300题规划'!$AB$2:$AB$301,MATCH(B271,'300题规划'!$A$2:$A$301,0))</x:f>
        <x:v>待逐题验证</x:v>
      </x:c>
    </x:row>
    <x:row r="272" ht="54" customHeight="1">
      <x:c r="A272" s="28" t="str">
        <x:v>M-MM-071</x:v>
      </x:c>
      <x:c r="B272" s="6" t="str">
        <x:v>MM-071</x:v>
      </x:c>
      <x:c r="C272" s="6" t="str">
        <x:v>中央跨首层无载的三跨混凝土框架</x:v>
      </x:c>
      <x:c r="D272" s="6" t="str">
        <x:v>平面混凝土框架</x:v>
      </x:c>
      <x:c r="E272" s="6" t="str">
        <x:v>2D</x:v>
      </x:c>
      <x:c r="F272" s="6" t="str">
        <x:v>L2</x:v>
      </x:c>
      <x:c r="G272" s="6" t="str">
        <x:v>几何：两层各3.6m、三跨4、6、4m，四根柱线完整；边界：四柱脚固定，梁柱刚接；荷载：首层两外跨向下10kN/m、中央跨无载，顶层三梁均向下12kN/m；属性：C30、柱500×500mm、梁300×600mm。</x:v>
      </x:c>
      <x:c r="H272" s="6" t="str">
        <x:v>首层中间空白是无载跨而不是缺梁，三跨节点要完整保留。</x:v>
      </x:c>
      <x:c r="I272" s="6" t="str">
        <x:v>robust-update-concrete-material</x:v>
      </x:c>
      <x:c r="J272" s="6" t="str">
        <x:v>concrete-frame-2s2b-6m-10k-c30；concrete-frame-2s2b-6m-10k-c40</x:v>
      </x:c>
      <x:c r="K272" s="6" t="str">
        <x:v>两跨规则模型改为三跨，新增无载中央跨与上下层不同载荷区域。</x:v>
      </x:c>
      <x:c r="L272" s="6" t="str">
        <x:v>基础工具；本题新增几何/属性与真值均待独立核验；材料截面代号须在本题附录定值。</x:v>
      </x:c>
      <x:c r="M272" s="6" t="str">
        <x:v>逐字段材料/截面数值及单位；完整支承自由度、荷载坐标与结果观测点</x:v>
      </x:c>
      <x:c r="N272" s="6" t="str">
        <x:v>独立规划骨架；可执行模型/数值真值待生成</x:v>
      </x:c>
      <x:c r="O272" s="30" t="n">
        <x:f>COUNTIFS('300题规划'!$C$2:$C$301,A272)</x:f>
        <x:v>1</x:v>
      </x:c>
      <x:c r="P272" s="5" t="str">
        <x:f>INDEX('300题规划'!$Y$2:$Y$301,MATCH(B272,'300题规划'!$A$2:$A$301,0))</x:f>
        <x:v>OpenSees</x:v>
      </x:c>
      <x:c r="Q272" s="5" t="str">
        <x:f>INDEX('300题规划'!$AB$2:$AB$301,MATCH(B272,'300题规划'!$A$2:$A$301,0))</x:f>
        <x:v>待逐题验证</x:v>
      </x:c>
    </x:row>
    <x:row r="273" ht="54" customHeight="1">
      <x:c r="A273" s="27" t="str">
        <x:v>M-MM-072</x:v>
      </x:c>
      <x:c r="B273" s="11" t="str">
        <x:v>MM-072</x:v>
      </x:c>
      <x:c r="C273" s="11" t="str">
        <x:v>左右错层混凝土框架缺尺寸补全</x:v>
      </x:c>
      <x:c r="D273" s="11" t="str">
        <x:v>平面混凝土框架</x:v>
      </x:c>
      <x:c r="E273" s="11" t="str">
        <x:v>2D</x:v>
      </x:c>
      <x:c r="F273" s="11" t="str">
        <x:v>L3</x:v>
      </x:c>
      <x:c r="G273" s="11" t="str">
        <x:v>几何：柱线x=0、5、12m；左跨梁标高3.3、7.3、10.4m，右跨梁标高分别高0.5m；中柱在每个左右梁标高均设连接节点，外柱到各自顶层；边界：三柱脚固定；荷载：所有实际梁向下10kN/m；属性：C30、柱500×500mm、梁300×600mm；首轮遮蔽右跨错层高差，第二轮补0.5m。</x:v>
      </x:c>
      <x:c r="H273" s="11" t="str">
        <x:v>共用中柱每层有两个梁连接标高，先确认唯一缺失错层值。</x:v>
      </x:c>
      <x:c r="I273" s="11" t="str">
        <x:v>无</x:v>
      </x:c>
      <x:c r="J273" s="11" t="str">
        <x:v>无</x:v>
      </x:c>
      <x:c r="K273" s="11" t="str">
        <x:v>同标高不等层高框架改成每层左右错层，新增中柱短段。</x:v>
      </x:c>
      <x:c r="L273" s="11" t="str">
        <x:v>基础工具；本题新增几何/属性与真值均待独立核验；材料截面代号须在本题附录定值。</x:v>
      </x:c>
      <x:c r="M273" s="11" t="str">
        <x:v>逐字段材料/截面数值及单位；完整支承自由度、荷载坐标与结果观测点</x:v>
      </x:c>
      <x:c r="N273" s="11" t="str">
        <x:v>独立规划骨架；可执行模型/数值真值待生成</x:v>
      </x:c>
      <x:c r="O273" s="30" t="n">
        <x:f>COUNTIFS('300题规划'!$C$2:$C$301,A273)</x:f>
        <x:v>1</x:v>
      </x:c>
      <x:c r="P273" s="5" t="str">
        <x:f>INDEX('300题规划'!$Y$2:$Y$301,MATCH(B273,'300题规划'!$A$2:$A$301,0))</x:f>
        <x:v>OpenSees</x:v>
      </x:c>
      <x:c r="Q273" s="5" t="str">
        <x:f>INDEX('300题规划'!$AB$2:$AB$301,MATCH(B273,'300题规划'!$A$2:$A$301,0))</x:f>
        <x:v>待逐题验证</x:v>
      </x:c>
    </x:row>
    <x:row r="274" ht="54" customHeight="1">
      <x:c r="A274" s="28" t="str">
        <x:v>M-MM-073</x:v>
      </x:c>
      <x:c r="B274" s="6" t="str">
        <x:v>MM-073</x:v>
      </x:c>
      <x:c r="C274" s="6" t="str">
        <x:v>分层混凝土材料加上层挑梁</x:v>
      </x:c>
      <x:c r="D274" s="6" t="str">
        <x:v>平面混凝土框架</x:v>
      </x:c>
      <x:c r="E274" s="6" t="str">
        <x:v>2D</x:v>
      </x:c>
      <x:c r="F274" s="6" t="str">
        <x:v>L3</x:v>
      </x:c>
      <x:c r="G274" s="6" t="str">
        <x:v>几何：两层各3.6m、两跨各6m；顶层梁从左柱向左再挑出1.5m；边界：三柱脚固定；荷载：主梁均向下10kN/m，顶层悬段向下8kN/m；属性：柱C40、首层梁C30、顶层梁及悬段C35；柱500×500mm，主梁300×600mm，悬段250×500mm，三材料完整弹性记录另附。</x:v>
      </x:c>
      <x:c r="H274" s="6" t="str">
        <x:v>材料分组由楼层和角色共同决定，悬段跟随顶层而非首层。</x:v>
      </x:c>
      <x:c r="I274" s="6" t="str">
        <x:v>无</x:v>
      </x:c>
      <x:c r="J274" s="6" t="str">
        <x:v>无</x:v>
      </x:c>
      <x:c r="K274" s="6" t="str">
        <x:v>梁柱两材料改为三种分层材料，并新增顶层悬挑构件。</x:v>
      </x:c>
      <x:c r="L274" s="6" t="str">
        <x:v>基础工具；本题新增几何/属性与真值均待独立核验；材料截面代号须在本题附录定值。</x:v>
      </x:c>
      <x:c r="M274" s="6" t="str">
        <x:v>逐字段材料/截面数值及单位；完整支承自由度、荷载坐标与结果观测点</x:v>
      </x:c>
      <x:c r="N274" s="6" t="str">
        <x:v>独立规划骨架；可执行模型/数值真值待生成</x:v>
      </x:c>
      <x:c r="O274" s="30" t="n">
        <x:f>COUNTIFS('300题规划'!$C$2:$C$301,A274)</x:f>
        <x:v>1</x:v>
      </x:c>
      <x:c r="P274" s="5" t="str">
        <x:f>INDEX('300题规划'!$Y$2:$Y$301,MATCH(B274,'300题规划'!$A$2:$A$301,0))</x:f>
        <x:v>OpenSees</x:v>
      </x:c>
      <x:c r="Q274" s="5" t="str">
        <x:f>INDEX('300题规划'!$AB$2:$AB$301,MATCH(B274,'300题规划'!$A$2:$A$301,0))</x:f>
        <x:v>待逐题验证</x:v>
      </x:c>
    </x:row>
    <x:row r="275" ht="54" customHeight="1">
      <x:c r="A275" s="27" t="str">
        <x:v>M-MM-074</x:v>
      </x:c>
      <x:c r="B275" s="11" t="str">
        <x:v>MM-074</x:v>
      </x:c>
      <x:c r="C275" s="11" t="str">
        <x:v>三列柱不同截面朝向框架</x:v>
      </x:c>
      <x:c r="D275" s="11" t="str">
        <x:v>平面混凝土框架</x:v>
      </x:c>
      <x:c r="E275" s="11" t="str">
        <x:v>2D</x:v>
      </x:c>
      <x:c r="F275" s="11" t="str">
        <x:v>L3</x:v>
      </x:c>
      <x:c r="G275" s="11" t="str">
        <x:v>几何：两层各3.6m，两跨7、4m，三柱线完整；边界：三柱脚固定；荷载：所有梁向下12kN/m，顶层右节点Fx=25kN；属性：C30；左柱矩形400×700mm强轴在XZ面，右柱同矩形旋转90度，中柱500×500mm，梁300×600mm，完整局部轴和惯性矩表另附。</x:v>
      </x:c>
      <x:c r="H275" s="11" t="str">
        <x:v>截面详图需映射到左/中/右柱，朝向不能由尺寸顺序猜测。</x:v>
      </x:c>
      <x:c r="I275" s="11" t="str">
        <x:v>无</x:v>
      </x:c>
      <x:c r="J275" s="11" t="str">
        <x:v>无</x:v>
      </x:c>
      <x:c r="K275" s="11" t="str">
        <x:v>两柱单跨改三柱两跨，并增加方中柱与不同边柱朝向。</x:v>
      </x:c>
      <x:c r="L275" s="11" t="str">
        <x:v>局部轴输入与适配需验证；本题新增几何/属性与真值均待独立核验；材料截面代号须在本题附录定值。</x:v>
      </x:c>
      <x:c r="M275" s="11" t="str">
        <x:v>逐字段材料/截面数值及单位；完整支承自由度、荷载坐标与结果观测点</x:v>
      </x:c>
      <x:c r="N275" s="11" t="str">
        <x:v>独立规划骨架；可执行模型/数值真值待生成</x:v>
      </x:c>
      <x:c r="O275" s="30" t="n">
        <x:f>COUNTIFS('300题规划'!$C$2:$C$301,A275)</x:f>
        <x:v>1</x:v>
      </x:c>
      <x:c r="P275" s="5" t="str">
        <x:f>INDEX('300题规划'!$Y$2:$Y$301,MATCH(B275,'300题规划'!$A$2:$A$301,0))</x:f>
        <x:v>OpenSees</x:v>
      </x:c>
      <x:c r="Q275" s="5" t="str">
        <x:f>INDEX('300题规划'!$AB$2:$AB$301,MATCH(B275,'300题规划'!$A$2:$A$301,0))</x:f>
        <x:v>待逐题验证</x:v>
      </x:c>
    </x:row>
    <x:row r="276" ht="54" customHeight="1">
      <x:c r="A276" s="28" t="str">
        <x:v>M-MM-075</x:v>
      </x:c>
      <x:c r="B276" s="6" t="str">
        <x:v>MM-075</x:v>
      </x:c>
      <x:c r="C276" s="6" t="str">
        <x:v>上层双翼中央缺梁混凝土框架</x:v>
      </x:c>
      <x:c r="D276" s="6" t="str">
        <x:v>平面混凝土框架</x:v>
      </x:c>
      <x:c r="E276" s="6" t="str">
        <x:v>2D</x:v>
      </x:c>
      <x:c r="F276" s="6" t="str">
        <x:v>L3</x:v>
      </x:c>
      <x:c r="G276" s="6" t="str">
        <x:v>几何：两层各3.6m、柱线x=0、5、10、15m；四柱线均到顶，首层梁三跨齐全，顶层仅左右外跨设梁，中央跨无梁；边界：四底柱脚固定；荷载：首层梁向下10kN/m，顶层两外梁向下8kN/m；属性：C30、柱500×500mm、梁300×600mm。</x:v>
      </x:c>
      <x:c r="H276" s="6" t="str">
        <x:v>上层两翼之间的轴线不是梁，但两侧柱仍存在。</x:v>
      </x:c>
      <x:c r="I276" s="6" t="str">
        <x:v>无</x:v>
      </x:c>
      <x:c r="J276" s="6" t="str">
        <x:v>无</x:v>
      </x:c>
      <x:c r="K276" s="6" t="str">
        <x:v>上层单侧退台改为中间缺梁、左右双翼保留，拓扑不同。</x:v>
      </x:c>
      <x:c r="L276" s="6" t="str">
        <x:v>基础工具；本题新增几何/属性与真值均待独立核验；材料截面代号须在本题附录定值。</x:v>
      </x:c>
      <x:c r="M276" s="6" t="str">
        <x:v>逐字段材料/截面数值及单位；完整支承自由度、荷载坐标与结果观测点</x:v>
      </x:c>
      <x:c r="N276" s="6" t="str">
        <x:v>独立规划骨架；可执行模型/数值真值待生成</x:v>
      </x:c>
      <x:c r="O276" s="30" t="n">
        <x:f>COUNTIFS('300题规划'!$C$2:$C$301,A276)</x:f>
        <x:v>1</x:v>
      </x:c>
      <x:c r="P276" s="5" t="str">
        <x:f>INDEX('300题规划'!$Y$2:$Y$301,MATCH(B276,'300题规划'!$A$2:$A$301,0))</x:f>
        <x:v>OpenSees</x:v>
      </x:c>
      <x:c r="Q276" s="5" t="str">
        <x:f>INDEX('300题规划'!$AB$2:$AB$301,MATCH(B276,'300题规划'!$A$2:$A$301,0))</x:f>
        <x:v>待逐题验证</x:v>
      </x:c>
    </x:row>
    <x:row r="277" ht="54" customHeight="1">
      <x:c r="A277" s="27" t="str">
        <x:v>M-MM-076</x:v>
      </x:c>
      <x:c r="B277" s="11" t="str">
        <x:v>MM-076</x:v>
      </x:c>
      <x:c r="C277" s="11" t="str">
        <x:v>中柱铰基与分层受荷宽度框架</x:v>
      </x:c>
      <x:c r="D277" s="11" t="str">
        <x:v>平面混凝土框架</x:v>
      </x:c>
      <x:c r="E277" s="11" t="str">
        <x:v>2D</x:v>
      </x:c>
      <x:c r="F277" s="11" t="str">
        <x:v>L3</x:v>
      </x:c>
      <x:c r="G277" s="11" t="str">
        <x:v>几何：两层各3.6m、两跨5、7m；边界：左右柱脚固定，中柱脚铰，梁柱刚接；荷载：楼面10kN/m²，首层左右受荷宽度4、6m，顶层左右宽度6、4m，仅折算后施加线载；属性：C30、柱500×500mm、梁300×600mm。</x:v>
      </x:c>
      <x:c r="H277" s="11" t="str">
        <x:v>受荷宽度按楼层和跨双重索引，中柱基础铰符号不能遗漏。</x:v>
      </x:c>
      <x:c r="I277" s="11" t="str">
        <x:v>无</x:v>
      </x:c>
      <x:c r="J277" s="11" t="str">
        <x:v>无</x:v>
      </x:c>
      <x:c r="K277" s="11" t="str">
        <x:v>统一固定基础改为中柱铰基，并形成上下层互换受荷宽度。</x:v>
      </x:c>
      <x:c r="L277" s="11" t="str">
        <x:v>基础工具；本题新增几何/属性与真值均待独立核验；材料截面代号须在本题附录定值。</x:v>
      </x:c>
      <x:c r="M277" s="11" t="str">
        <x:v>逐字段材料/截面数值及单位；完整支承自由度、荷载坐标与结果观测点；受荷宽度/分配规则逐梁列明</x:v>
      </x:c>
      <x:c r="N277" s="11" t="str">
        <x:v>独立规划骨架；可执行模型/数值真值待生成</x:v>
      </x:c>
      <x:c r="O277" s="30" t="n">
        <x:f>COUNTIFS('300题规划'!$C$2:$C$301,A277)</x:f>
        <x:v>1</x:v>
      </x:c>
      <x:c r="P277" s="5" t="str">
        <x:f>INDEX('300题规划'!$Y$2:$Y$301,MATCH(B277,'300题规划'!$A$2:$A$301,0))</x:f>
        <x:v>OpenSees</x:v>
      </x:c>
      <x:c r="Q277" s="5" t="str">
        <x:f>INDEX('300题规划'!$AB$2:$AB$301,MATCH(B277,'300题规划'!$A$2:$A$301,0))</x:f>
        <x:v>待逐题验证</x:v>
      </x:c>
    </x:row>
    <x:row r="278" ht="54" customHeight="1">
      <x:c r="A278" s="28" t="str">
        <x:v>M-MM-077</x:v>
      </x:c>
      <x:c r="B278" s="6" t="str">
        <x:v>MM-077</x:v>
      </x:c>
      <x:c r="C278" s="6" t="str">
        <x:v>四层局部缺梁分段柱框架</x:v>
      </x:c>
      <x:c r="D278" s="6" t="str">
        <x:v>平面混凝土框架</x:v>
      </x:c>
      <x:c r="E278" s="6" t="str">
        <x:v>2D</x:v>
      </x:c>
      <x:c r="F278" s="6" t="str">
        <x:v>L3</x:v>
      </x:c>
      <x:c r="G278" s="6" t="str">
        <x:v>几何：四层各3.3m、两跨各6m，三柱线完整；第二层右跨梁缺失，其余楼层两跨均有梁；边界：三柱脚固定；荷载：所有实际梁向下10kN/m；属性：C30，下两层柱600×600mm、上两层500×500mm，普通梁300×600mm、顶层梁250×500mm。</x:v>
      </x:c>
      <x:c r="H278" s="6" t="str">
        <x:v>层数、缺梁位置和柱截面分界同时由立面和表格指定。</x:v>
      </x:c>
      <x:c r="I278" s="6" t="str">
        <x:v>无</x:v>
      </x:c>
      <x:c r="J278" s="6" t="str">
        <x:v>无</x:v>
      </x:c>
      <x:c r="K278" s="6" t="str">
        <x:v>三层变截面规则框架改为四层且第二层局部缺梁。</x:v>
      </x:c>
      <x:c r="L278" s="6" t="str">
        <x:v>基础工具；本题新增几何/属性与真值均待独立核验；材料截面代号须在本题附录定值。</x:v>
      </x:c>
      <x:c r="M278" s="6" t="str">
        <x:v>逐字段材料/截面数值及单位；完整支承自由度、荷载坐标与结果观测点</x:v>
      </x:c>
      <x:c r="N278" s="6" t="str">
        <x:v>独立规划骨架；可执行模型/数值真值待生成</x:v>
      </x:c>
      <x:c r="O278" s="30" t="n">
        <x:f>COUNTIFS('300题规划'!$C$2:$C$301,A278)</x:f>
        <x:v>1</x:v>
      </x:c>
      <x:c r="P278" s="5" t="str">
        <x:f>INDEX('300题规划'!$Y$2:$Y$301,MATCH(B278,'300题规划'!$A$2:$A$301,0))</x:f>
        <x:v>OpenSees</x:v>
      </x:c>
      <x:c r="Q278" s="5" t="str">
        <x:f>INDEX('300题规划'!$AB$2:$AB$301,MATCH(B278,'300题规划'!$A$2:$A$301,0))</x:f>
        <x:v>待逐题验证</x:v>
      </x:c>
    </x:row>
    <x:row r="279" ht="54" customHeight="1">
      <x:c r="A279" s="27" t="str">
        <x:v>M-MM-078</x:v>
      </x:c>
      <x:c r="B279" s="11" t="str">
        <x:v>MM-078</x:v>
      </x:c>
      <x:c r="C279" s="11" t="str">
        <x:v>顶层挑梁受侧力混凝土框架</x:v>
      </x:c>
      <x:c r="D279" s="11" t="str">
        <x:v>平面混凝土框架</x:v>
      </x:c>
      <x:c r="E279" s="11" t="str">
        <x:v>2D</x:v>
      </x:c>
      <x:c r="F279" s="11" t="str">
        <x:v>L3</x:v>
      </x:c>
      <x:c r="G279" s="11" t="str">
        <x:v>几何：三层各3.3m、单跨6m，顶梁向右外伸1m；边界：两柱脚固定；荷载：D三层主梁依次向下10、8、6kN/m，顶悬段向下4kN/m；W+仅顶悬端Fx=20kN，W-仅该端Fx=-20kN；组合D、D+W+、D+W-；属性：C30、柱500×500mm、主梁300×600mm、悬段250×500mm。</x:v>
      </x:c>
      <x:c r="H279" s="11" t="str">
        <x:v>侧力在柱顶之外的悬端，正反工况需分别保存。</x:v>
      </x:c>
      <x:c r="I279" s="11" t="str">
        <x:v>无</x:v>
      </x:c>
      <x:c r="J279" s="11" t="str">
        <x:v>无</x:v>
      </x:c>
      <x:c r="K279" s="11" t="str">
        <x:v>普通三层框架增顶层外伸构件，并将反向侧力放在悬端。</x:v>
      </x:c>
      <x:c r="L279" s="11" t="str">
        <x:v>多组合执行契约需验证；本题新增几何/属性与真值均待独立核验；材料截面代号须在本题附录定值。</x:v>
      </x:c>
      <x:c r="M279" s="11" t="str">
        <x:v>逐字段材料/截面数值及单位；完整支承自由度、荷载坐标与结果观测点；完整工况/组合系数表</x:v>
      </x:c>
      <x:c r="N279" s="11" t="str">
        <x:v>独立规划骨架；可执行模型/数值真值待生成</x:v>
      </x:c>
      <x:c r="O279" s="30" t="n">
        <x:f>COUNTIFS('300题规划'!$C$2:$C$301,A279)</x:f>
        <x:v>1</x:v>
      </x:c>
      <x:c r="P279" s="5" t="str">
        <x:f>INDEX('300题规划'!$Y$2:$Y$301,MATCH(B279,'300题规划'!$A$2:$A$301,0))</x:f>
        <x:v>OpenSees</x:v>
      </x:c>
      <x:c r="Q279" s="5" t="str">
        <x:f>INDEX('300题规划'!$AB$2:$AB$301,MATCH(B279,'300题规划'!$A$2:$A$301,0))</x:f>
        <x:v>待逐题验证</x:v>
      </x:c>
    </x:row>
    <x:row r="280" ht="67.5" customHeight="1">
      <x:c r="A280" s="28" t="str">
        <x:v>M-MM-079</x:v>
      </x:c>
      <x:c r="B280" s="6" t="str">
        <x:v>MM-079</x:v>
      </x:c>
      <x:c r="C280" s="6" t="str">
        <x:v>上层平移的斜柱空间框架</x:v>
      </x:c>
      <x:c r="D280" s="6" t="str">
        <x:v>空间框架</x:v>
      </x:c>
      <x:c r="E280" s="6" t="str">
        <x:v>3D</x:v>
      </x:c>
      <x:c r="F280" s="6" t="str">
        <x:v>L3</x:v>
      </x:c>
      <x:c r="G280" s="6" t="str">
        <x:v>几何：下层平面四角(0,0)、(6,0)、(0,5)、(6,5)m且z=3.6m；上层四点沿X平移1m、z=7.2m，对应上下节点由斜柱连接；下层柱从原平面z=0起，各层四边设梁；边界：四底柱脚六自由度固定；荷载：两层面载均10kN/m²，按X梁单向受荷；属性：钢M1、柱C1、X梁B1、Y梁B2，无刚性楼板。</x:v>
      </x:c>
      <x:c r="H280" s="6" t="str">
        <x:v>上层平面不是下层原位复制，多视图需共同确定斜柱端点。</x:v>
      </x:c>
      <x:c r="I280" s="6" t="str">
        <x:v>std-frame3d-simple-gt</x:v>
      </x:c>
      <x:c r="J280" s="6" t="str">
        <x:v>frame3d-simple</x:v>
      </x:c>
      <x:c r="K280" s="6" t="str">
        <x:v>规则直柱空间框架改为上层整体平移、层间柱倾斜。</x:v>
      </x:c>
      <x:c r="L280" s="6" t="str">
        <x:v>基础工具；本题新增几何/属性与真值均待独立核验；材料截面代号须在本题附录定值。斜杆全局荷载和局部轴适配待验证。按实际保留矩形楼面逐层分配面载，关闭自重与默认刚性楼板。</x:v>
      </x:c>
      <x:c r="M280" s="6" t="str">
        <x:v>逐字段材料/截面数值及单位；完整支承自由度、荷载坐标与结果观测点；局部轴和三向荷载约定；受荷宽度/分配规则逐梁列明</x:v>
      </x:c>
      <x:c r="N280" s="6" t="str">
        <x:v>独立规划骨架；可执行模型/数值真值待生成</x:v>
      </x:c>
      <x:c r="O280" s="30" t="n">
        <x:f>COUNTIFS('300题规划'!$C$2:$C$301,A280)</x:f>
        <x:v>1</x:v>
      </x:c>
      <x:c r="P280" s="5" t="str">
        <x:f>INDEX('300题规划'!$Y$2:$Y$301,MATCH(B280,'300题规划'!$A$2:$A$301,0))</x:f>
        <x:v>YJK</x:v>
      </x:c>
      <x:c r="Q280" s="5" t="str">
        <x:f>INDEX('300题规划'!$AB$2:$AB$301,MATCH(B280,'300题规划'!$A$2:$A$301,0))</x:f>
        <x:v>存在已知接口缺口</x:v>
      </x:c>
    </x:row>
    <x:row r="281" ht="67.5" customHeight="1">
      <x:c r="A281" s="27" t="str">
        <x:v>M-MM-080</x:v>
      </x:c>
      <x:c r="B281" s="11" t="str">
        <x:v>MM-080</x:v>
      </x:c>
      <x:c r="C281" s="11" t="str">
        <x:v>顶层缺横梁的空间框架</x:v>
      </x:c>
      <x:c r="D281" s="11" t="str">
        <x:v>空间框架</x:v>
      </x:c>
      <x:c r="E281" s="11" t="str">
        <x:v>3D</x:v>
      </x:c>
      <x:c r="F281" s="11" t="str">
        <x:v>L3</x:v>
      </x:c>
      <x:c r="G281" s="11" t="str">
        <x:v>几何：X网格0、6、12m，Y网格0、5m，两层z=3.6、7.2m；柱线完整，各层网格边梁齐全但顶层x=6m的Y梁缺失；边界：六底柱脚固定；荷载：两层面载8kN/m²按X梁单向分配，顶层(12,5,7.2)m节点Fy=20kN；属性：钢M1、柱C1、X梁B1、Y梁B2，无刚性楼板。</x:v>
      </x:c>
      <x:c r="H281" s="11" t="str">
        <x:v>平面中缺少一根实际横梁，侧载使该缺失影响空间约束。</x:v>
      </x:c>
      <x:c r="I281" s="11" t="str">
        <x:v>frame-3d-2story-2bayx-1bayy</x:v>
      </x:c>
      <x:c r="J281" s="11" t="str">
        <x:v>frame3d-steel-2s-2x1y-8k</x:v>
      </x:c>
      <x:c r="K281" s="11" t="str">
        <x:v>规则2×1跨顶层删除中间横梁，并新增横向侧力检验力路。</x:v>
      </x:c>
      <x:c r="L281" s="11" t="str">
        <x:v>按本题拟定 YJK 独立重算并核验；本题新增几何/属性与真值均待独立核验；材料截面代号须在本题附录定值。按实际保留矩形楼面逐层分配面载，关闭自重与默认刚性楼板。</x:v>
      </x:c>
      <x:c r="M281" s="11" t="str">
        <x:v>逐字段材料/截面数值及单位；完整支承自由度、荷载坐标与结果观测点；局部轴和三向荷载约定；受荷宽度/分配规则逐梁列明</x:v>
      </x:c>
      <x:c r="N281" s="11" t="str">
        <x:v>独立规划骨架；可执行模型/数值真值待生成</x:v>
      </x:c>
      <x:c r="O281" s="30" t="n">
        <x:f>COUNTIFS('300题规划'!$C$2:$C$301,A281)</x:f>
        <x:v>1</x:v>
      </x:c>
      <x:c r="P281" s="5" t="str">
        <x:f>INDEX('300题规划'!$Y$2:$Y$301,MATCH(B281,'300题规划'!$A$2:$A$301,0))</x:f>
        <x:v>YJK</x:v>
      </x:c>
      <x:c r="Q281" s="5" t="str">
        <x:f>INDEX('300题规划'!$AB$2:$AB$301,MATCH(B281,'300题规划'!$A$2:$A$301,0))</x:f>
        <x:v>存在已知接口缺口</x:v>
      </x:c>
    </x:row>
    <x:row r="282" ht="67.5" customHeight="1">
      <x:c r="A282" s="28" t="str">
        <x:v>M-MM-081</x:v>
      </x:c>
      <x:c r="B282" s="6" t="str">
        <x:v>MM-081</x:v>
      </x:c>
      <x:c r="C282" s="6" t="str">
        <x:v>顶层沿Y退台的三层空间框架</x:v>
      </x:c>
      <x:c r="D282" s="6" t="str">
        <x:v>空间框架</x:v>
      </x:c>
      <x:c r="E282" s="6" t="str">
        <x:v>3D</x:v>
      </x:c>
      <x:c r="F282" s="6" t="str">
        <x:v>L3</x:v>
      </x:c>
      <x:c r="G282" s="6" t="str">
        <x:v>几何：X网格0、6m，Y网格0、5、10m；首两层z=3.3、6.6m完整1×2跨，第三层z=9.9m仅保留Y=0、5m一跨，Y=10m柱止于第二层；实际楼层四周和网格设梁；边界：六底柱脚固定；荷载：每层实际完整矩形楼面10kN/m²按X梁单向分配；属性：钢M1、柱C1、X梁B1、Y梁B2，无刚性楼板。</x:v>
      </x:c>
      <x:c r="H282" s="6" t="str">
        <x:v>第三层实际范围不同，不能由低层平面整层拉伸复制。</x:v>
      </x:c>
      <x:c r="I282" s="6" t="str">
        <x:v>frame-3d-3story-1bayx-2bayy-en</x:v>
      </x:c>
      <x:c r="J282" s="6" t="str">
        <x:v>frame3d-steel-3s-1x2y-10k</x:v>
      </x:c>
      <x:c r="K282" s="6" t="str">
        <x:v>三层规则1×2跨改为顶层1×1跨退台，取消两根上层柱段及对应梁。</x:v>
      </x:c>
      <x:c r="L282" s="6" t="str">
        <x:v>按本题拟定 PKPM 独立重算并核验；本题新增几何/属性与真值均待独立核验；材料截面代号须在本题附录定值。按实际保留矩形楼面逐层分配面载，关闭自重与默认刚性楼板。</x:v>
      </x:c>
      <x:c r="M282" s="6" t="str">
        <x:v>逐字段材料/截面数值及单位；完整支承自由度、荷载坐标与结果观测点；局部轴和三向荷载约定；受荷宽度/分配规则逐梁列明</x:v>
      </x:c>
      <x:c r="N282" s="6" t="str">
        <x:v>独立规划骨架；可执行模型/数值真值待生成</x:v>
      </x:c>
      <x:c r="O282" s="30" t="n">
        <x:f>COUNTIFS('300题规划'!$C$2:$C$301,A282)</x:f>
        <x:v>1</x:v>
      </x:c>
      <x:c r="P282" s="5" t="str">
        <x:f>INDEX('300题规划'!$Y$2:$Y$301,MATCH(B282,'300题规划'!$A$2:$A$301,0))</x:f>
        <x:v>PKPM</x:v>
      </x:c>
      <x:c r="Q282" s="5" t="str">
        <x:f>INDEX('300题规划'!$AB$2:$AB$301,MATCH(B282,'300题规划'!$A$2:$A$301,0))</x:f>
        <x:v>存在已知接口缺口</x:v>
      </x:c>
    </x:row>
    <x:row r="283" ht="67.5" customHeight="1">
      <x:c r="A283" s="27" t="str">
        <x:v>M-MM-082</x:v>
      </x:c>
      <x:c r="B283" s="11" t="str">
        <x:v>MM-082</x:v>
      </x:c>
      <x:c r="C283" s="11" t="str">
        <x:v>顶层整条Y梁线缺失空间框架</x:v>
      </x:c>
      <x:c r="D283" s="11" t="str">
        <x:v>空间框架</x:v>
      </x:c>
      <x:c r="E283" s="11" t="str">
        <x:v>3D</x:v>
      </x:c>
      <x:c r="F283" s="11" t="str">
        <x:v>L3</x:v>
      </x:c>
      <x:c r="G283" s="11" t="str">
        <x:v>几何：X网格0、6、12m，Y网格0、5、10m，两层z=3.6、7.2m；九柱线完整，楼层网格梁齐全但顶层x=6m的两段Y梁均缺失；边界：九柱脚固定；荷载：首层面载10、二层8kN/m²按X梁单向分配；顶层(12,10,7.2)m加Fx=15、Fy=10kN；属性：钢M1、柱C1、X梁B1、Y梁B2，无刚性楼板。</x:v>
      </x:c>
      <x:c r="H283" s="11" t="str">
        <x:v>建筑轴线可能掩盖整条缺梁线，需按结构实体而不是网格建梁。</x:v>
      </x:c>
      <x:c r="I283" s="11" t="str">
        <x:v>std-frame3d-complex-gt</x:v>
      </x:c>
      <x:c r="J283" s="11" t="str">
        <x:v>frame3d-complex</x:v>
      </x:c>
      <x:c r="K283" s="11" t="str">
        <x:v>规则2×2跨框架顶层删去一整条横向梁线并施双向偏心侧力。</x:v>
      </x:c>
      <x:c r="L283" s="11" t="str">
        <x:v>按本题拟定 YJK 独立重算并核验；本题新增几何/属性与真值均待独立核验；材料截面代号须在本题附录定值。按实际保留矩形楼面逐层分配面载，关闭自重与默认刚性楼板。</x:v>
      </x:c>
      <x:c r="M283" s="11" t="str">
        <x:v>逐字段材料/截面数值及单位；完整支承自由度、荷载坐标与结果观测点；局部轴和三向荷载约定；受荷宽度/分配规则逐梁列明</x:v>
      </x:c>
      <x:c r="N283" s="11" t="str">
        <x:v>独立规划骨架；可执行模型/数值真值待生成</x:v>
      </x:c>
      <x:c r="O283" s="30" t="n">
        <x:f>COUNTIFS('300题规划'!$C$2:$C$301,A283)</x:f>
        <x:v>1</x:v>
      </x:c>
      <x:c r="P283" s="5" t="str">
        <x:f>INDEX('300题规划'!$Y$2:$Y$301,MATCH(B283,'300题规划'!$A$2:$A$301,0))</x:f>
        <x:v>YJK</x:v>
      </x:c>
      <x:c r="Q283" s="5" t="str">
        <x:f>INDEX('300题规划'!$AB$2:$AB$301,MATCH(B283,'300题规划'!$A$2:$A$301,0))</x:f>
        <x:v>存在已知接口缺口</x:v>
      </x:c>
    </x:row>
    <x:row r="284" ht="67.5" customHeight="1">
      <x:c r="A284" s="28" t="str">
        <x:v>M-MM-083</x:v>
      </x:c>
      <x:c r="B284" s="6" t="str">
        <x:v>MM-083</x:v>
      </x:c>
      <x:c r="C284" s="6" t="str">
        <x:v>三层局部退台混凝土空间框架</x:v>
      </x:c>
      <x:c r="D284" s="6" t="str">
        <x:v>空间框架</x:v>
      </x:c>
      <x:c r="E284" s="6" t="str">
        <x:v>3D</x:v>
      </x:c>
      <x:c r="F284" s="6" t="str">
        <x:v>L3</x:v>
      </x:c>
      <x:c r="G284" s="6" t="str">
        <x:v>几何：X网格0、6、12m，Y网格0、5m；首两层z=3.6、7.2m完整2×1跨，第三层z=10.8m仅保留X=0至6m的一跨，右侧两柱止于第二层；实际网格梁齐全；边界：六底柱脚固定；荷载：首两层面载12、顶层6kN/m²按X梁单向分配；属性：C30、柱500×500mm、梁300×600mm，无刚性楼板。</x:v>
      </x:c>
      <x:c r="H284" s="6" t="str">
        <x:v>退台仅影响顶层右半，材料表与三层实际楼面分别关联。</x:v>
      </x:c>
      <x:c r="I284" s="6" t="str">
        <x:v>concrete-frame-3d-2story-static</x:v>
      </x:c>
      <x:c r="J284" s="6" t="str">
        <x:v>frame3d-concrete-2s-2x1y-12k</x:v>
      </x:c>
      <x:c r="K284" s="6" t="str">
        <x:v>两层规则混凝土空间框架增加局部第三层，形成新的退台拓扑。</x:v>
      </x:c>
      <x:c r="L284" s="6" t="str">
        <x:v>按本题拟定 PKPM 独立重算并核验；本题新增几何/属性与真值均待独立核验；材料截面代号须在本题附录定值。按实际保留矩形楼面逐层分配面载，关闭自重与默认刚性楼板。</x:v>
      </x:c>
      <x:c r="M284" s="6" t="str">
        <x:v>逐字段材料/截面数值及单位；完整支承自由度、荷载坐标与结果观测点；局部轴和三向荷载约定；受荷宽度/分配规则逐梁列明</x:v>
      </x:c>
      <x:c r="N284" s="6" t="str">
        <x:v>独立规划骨架；可执行模型/数值真值待生成</x:v>
      </x:c>
      <x:c r="O284" s="30" t="n">
        <x:f>COUNTIFS('300题规划'!$C$2:$C$301,A284)</x:f>
        <x:v>1</x:v>
      </x:c>
      <x:c r="P284" s="5" t="str">
        <x:f>INDEX('300题规划'!$Y$2:$Y$301,MATCH(B284,'300题规划'!$A$2:$A$301,0))</x:f>
        <x:v>PKPM</x:v>
      </x:c>
      <x:c r="Q284" s="5" t="str">
        <x:f>INDEX('300题规划'!$AB$2:$AB$301,MATCH(B284,'300题规划'!$A$2:$A$301,0))</x:f>
        <x:v>存在已知接口缺口</x:v>
      </x:c>
    </x:row>
    <x:row r="285" ht="67.5" customHeight="1">
      <x:c r="A285" s="27" t="str">
        <x:v>M-MM-084</x:v>
      </x:c>
      <x:c r="B285" s="11" t="str">
        <x:v>MM-084</x:v>
      </x:c>
      <x:c r="C285" s="11" t="str">
        <x:v>顶层缺边中柱的空间转换框架</x:v>
      </x:c>
      <x:c r="D285" s="11" t="str">
        <x:v>空间框架</x:v>
      </x:c>
      <x:c r="E285" s="11" t="str">
        <x:v>3D</x:v>
      </x:c>
      <x:c r="F285" s="11" t="str">
        <x:v>L3</x:v>
      </x:c>
      <x:c r="G285" s="11" t="str">
        <x:v>几何：X网格0、6、12m，Y网格0、5m，两层z=3.6、7.2m，各层梁网完整；仅第二层位于(6,0)的柱段缺失，顶梁在该点连续且连接Y梁；边界：六底柱脚固定；荷载：首层面载12、二层10kN/m²按X梁单向分配；属性：C30、柱500×500mm、普通梁300×600mm，顶层前侧12m转换梁400×800mm，无刚性楼板。</x:v>
      </x:c>
      <x:c r="H285" s="11" t="str">
        <x:v>平面梁节点存在不代表下方有柱，前侧转换梁是不同截面组。</x:v>
      </x:c>
      <x:c r="I285" s="11" t="str">
        <x:v>std-frame3d-concrete-gt</x:v>
      </x:c>
      <x:c r="J285" s="11" t="str">
        <x:v>frame3d-concrete</x:v>
      </x:c>
      <x:c r="K285" s="11" t="str">
        <x:v>规则框架删除一个上层边中柱段并采用连续转换梁。</x:v>
      </x:c>
      <x:c r="L285" s="11" t="str">
        <x:v>按本题拟定 YJK 独立重算并核验；本题新增几何/属性与真值均待独立核验；材料截面代号须在本题附录定值。按实际保留矩形楼面逐层分配面载，关闭自重与默认刚性楼板。</x:v>
      </x:c>
      <x:c r="M285" s="11" t="str">
        <x:v>逐字段材料/截面数值及单位；完整支承自由度、荷载坐标与结果观测点；局部轴和三向荷载约定；受荷宽度/分配规则逐梁列明</x:v>
      </x:c>
      <x:c r="N285" s="11" t="str">
        <x:v>独立规划骨架；可执行模型/数值真值待生成</x:v>
      </x:c>
      <x:c r="O285" s="30" t="n">
        <x:f>COUNTIFS('300题规划'!$C$2:$C$301,A285)</x:f>
        <x:v>1</x:v>
      </x:c>
      <x:c r="P285" s="5" t="str">
        <x:f>INDEX('300题规划'!$Y$2:$Y$301,MATCH(B285,'300题规划'!$A$2:$A$301,0))</x:f>
        <x:v>YJK</x:v>
      </x:c>
      <x:c r="Q285" s="5" t="str">
        <x:f>INDEX('300题规划'!$AB$2:$AB$301,MATCH(B285,'300题规划'!$A$2:$A$301,0))</x:f>
        <x:v>存在已知接口缺口</x:v>
      </x:c>
    </x:row>
    <x:row r="286" ht="54" customHeight="1">
      <x:c r="A286" s="28" t="str">
        <x:v>M-MM-085</x:v>
      </x:c>
      <x:c r="B286" s="6" t="str">
        <x:v>MM-085</x:v>
      </x:c>
      <x:c r="C286" s="6" t="str">
        <x:v>角部斜柱非规则空间框架</x:v>
      </x:c>
      <x:c r="D286" s="6" t="str">
        <x:v>空间框架</x:v>
      </x:c>
      <x:c r="E286" s="6" t="str">
        <x:v>3D</x:v>
      </x:c>
      <x:c r="F286" s="6" t="str">
        <x:v>L3</x:v>
      </x:c>
      <x:c r="G286" s="6" t="str">
        <x:v>几何：下层X网格0、4、11m，Y网格0、3、9m，z=3.4m；上层z=7.5m除原(0,0)角节点移为(1,1)外其余节点不变，层间对应连柱且各层按网格相邻连接梁；边界：九底柱脚固定；荷载：所有实际梁按长度向下8kN/m，移位顶角加Fx=10kN；属性：钢M1、柱C1、梁B1，无刚性楼板。</x:v>
      </x:c>
      <x:c r="H286" s="6" t="str">
        <x:v>角部斜柱与两根非正交梁须从两立面和平面联合恢复。</x:v>
      </x:c>
      <x:c r="I286" s="6" t="str">
        <x:v>无</x:v>
      </x:c>
      <x:c r="J286" s="6" t="str">
        <x:v>无</x:v>
      </x:c>
      <x:c r="K286" s="6" t="str">
        <x:v>不等网格规则直柱改为一个顶角偏移及非正交连接。</x:v>
      </x:c>
      <x:c r="L286" s="6" t="str">
        <x:v>基础工具；本题新增几何/属性与真值均待独立核验；材料截面代号须在本题附录定值。斜杆全局荷载和局部轴适配待验证。</x:v>
      </x:c>
      <x:c r="M286" s="6" t="str">
        <x:v>逐字段材料/截面数值及单位；完整支承自由度、荷载坐标与结果观测点；局部轴和三向荷载约定</x:v>
      </x:c>
      <x:c r="N286" s="6" t="str">
        <x:v>独立规划骨架；可执行模型/数值真值待生成</x:v>
      </x:c>
      <x:c r="O286" s="30" t="n">
        <x:f>COUNTIFS('300题规划'!$C$2:$C$301,A286)</x:f>
        <x:v>1</x:v>
      </x:c>
      <x:c r="P286" s="5" t="str">
        <x:f>INDEX('300题规划'!$Y$2:$Y$301,MATCH(B286,'300题规划'!$A$2:$A$301,0))</x:f>
        <x:v>YJK</x:v>
      </x:c>
      <x:c r="Q286" s="5" t="str">
        <x:f>INDEX('300题规划'!$AB$2:$AB$301,MATCH(B286,'300题规划'!$A$2:$A$301,0))</x:f>
        <x:v>存在已知接口缺口</x:v>
      </x:c>
    </x:row>
    <x:row r="287" ht="67.5" customHeight="1">
      <x:c r="A287" s="27" t="str">
        <x:v>M-MM-086</x:v>
      </x:c>
      <x:c r="B287" s="11" t="str">
        <x:v>MM-086</x:v>
      </x:c>
      <x:c r="C287" s="11" t="str">
        <x:v>U形平面两层空间框架</x:v>
      </x:c>
      <x:c r="D287" s="11" t="str">
        <x:v>空间框架</x:v>
      </x:c>
      <x:c r="E287" s="11" t="str">
        <x:v>3D</x:v>
      </x:c>
      <x:c r="F287" s="11" t="str">
        <x:v>L3</x:v>
      </x:c>
      <x:c r="G287" s="11" t="str">
        <x:v>几何：X网格0、4、8、12m，Y网格0、5、10m，两层各3.6m；平面取六矩形格去掉后排中间一格形成U形，柱仅在保留格顶点，梁仅沿保留格边线，重复边只建一次；边界：所有底柱脚固定；荷载：全部实际梁向下8kN/m，第二层左翼梁另加向下4kN/m；属性：钢M1、柱C1、梁B1，无刚性楼板。</x:v>
      </x:c>
      <x:c r="H287" s="11" t="str">
        <x:v>建筑背景线可能跨过U形开口，必须按保留楼面和结构线定边。</x:v>
      </x:c>
      <x:c r="I287" s="11" t="str">
        <x:v>无</x:v>
      </x:c>
      <x:c r="J287" s="11" t="str">
        <x:v>无</x:v>
      </x:c>
      <x:c r="K287" s="11" t="str">
        <x:v>L形删角平面改为U形中间凹口，改变缺失区域和连接结构。</x:v>
      </x:c>
      <x:c r="L287" s="11" t="str">
        <x:v>不规则楼面荷载映射需验证；本题新增几何/属性与真值均待独立核验；材料截面代号须在本题附录定值。</x:v>
      </x:c>
      <x:c r="M287" s="11" t="str">
        <x:v>逐字段材料/截面数值及单位；完整支承自由度、荷载坐标与结果观测点；局部轴和三向荷载约定</x:v>
      </x:c>
      <x:c r="N287" s="11" t="str">
        <x:v>独立规划骨架；可执行模型/数值真值待生成</x:v>
      </x:c>
      <x:c r="O287" s="30" t="n">
        <x:f>COUNTIFS('300题规划'!$C$2:$C$301,A287)</x:f>
        <x:v>1</x:v>
      </x:c>
      <x:c r="P287" s="5" t="str">
        <x:f>INDEX('300题规划'!$Y$2:$Y$301,MATCH(B287,'300题规划'!$A$2:$A$301,0))</x:f>
        <x:v>PKPM</x:v>
      </x:c>
      <x:c r="Q287" s="5" t="str">
        <x:f>INDEX('300题规划'!$AB$2:$AB$301,MATCH(B287,'300题规划'!$A$2:$A$301,0))</x:f>
        <x:v>存在已知接口缺口</x:v>
      </x:c>
    </x:row>
    <x:row r="288" ht="67.5" customHeight="1">
      <x:c r="A288" s="28" t="str">
        <x:v>M-MM-087</x:v>
      </x:c>
      <x:c r="B288" s="6" t="str">
        <x:v>MM-087</x:v>
      </x:c>
      <x:c r="C288" s="6" t="str">
        <x:v>顶层对角双翼空间框架</x:v>
      </x:c>
      <x:c r="D288" s="6" t="str">
        <x:v>空间框架</x:v>
      </x:c>
      <x:c r="E288" s="6" t="str">
        <x:v>3D</x:v>
      </x:c>
      <x:c r="F288" s="6" t="str">
        <x:v>L3</x:v>
      </x:c>
      <x:c r="G288" s="6" t="str">
        <x:v>几何：首层2×2跨，X网格0、6、12m、Y网格0、5、10m、z=3.6m；顶层z=7.2m只保留前左格与后右格，两翼在中心角点共节点；顶柱仅建在保留格顶点，梁沿保留格边线；边界：九底柱脚固定；荷载：首层实际梁向下10kN/m，顶层前左翼8、后右翼6kN/m；属性：钢M1、柱C1、梁B1，无刚性楼板。</x:v>
      </x:c>
      <x:c r="H288" s="6" t="str">
        <x:v>上层不是整条退台，两翼只在中心角点连接，不能补齐缺格边梁。</x:v>
      </x:c>
      <x:c r="I288" s="6" t="str">
        <x:v>无</x:v>
      </x:c>
      <x:c r="J288" s="6" t="str">
        <x:v>无</x:v>
      </x:c>
      <x:c r="K288" s="6" t="str">
        <x:v>单条上层退台改为对角双翼层间拓扑。</x:v>
      </x:c>
      <x:c r="L288" s="6" t="str">
        <x:v>不规则楼面荷载映射需验证；本题新增几何/属性与真值均待独立核验；材料截面代号须在本题附录定值。</x:v>
      </x:c>
      <x:c r="M288" s="6" t="str">
        <x:v>逐字段材料/截面数值及单位；完整支承自由度、荷载坐标与结果观测点；局部轴和三向荷载约定</x:v>
      </x:c>
      <x:c r="N288" s="6" t="str">
        <x:v>独立规划骨架；可执行模型/数值真值待生成</x:v>
      </x:c>
      <x:c r="O288" s="30" t="n">
        <x:f>COUNTIFS('300题规划'!$C$2:$C$301,A288)</x:f>
        <x:v>1</x:v>
      </x:c>
      <x:c r="P288" s="5" t="str">
        <x:f>INDEX('300题规划'!$Y$2:$Y$301,MATCH(B288,'300题规划'!$A$2:$A$301,0))</x:f>
        <x:v>YJK</x:v>
      </x:c>
      <x:c r="Q288" s="5" t="str">
        <x:f>INDEX('300题规划'!$AB$2:$AB$301,MATCH(B288,'300题规划'!$A$2:$A$301,0))</x:f>
        <x:v>存在已知接口缺口</x:v>
      </x:c>
    </x:row>
    <x:row r="289" ht="67.5" customHeight="1">
      <x:c r="A289" s="27" t="str">
        <x:v>M-MM-088</x:v>
      </x:c>
      <x:c r="B289" s="11" t="str">
        <x:v>MM-088</x:v>
      </x:c>
      <x:c r="C289" s="11" t="str">
        <x:v>带顶层平面斜撑的空间框架</x:v>
      </x:c>
      <x:c r="D289" s="11" t="str">
        <x:v>空间框架</x:v>
      </x:c>
      <x:c r="E289" s="11" t="str">
        <x:v>3D</x:v>
      </x:c>
      <x:c r="F289" s="11" t="str">
        <x:v>L3</x:v>
      </x:c>
      <x:c r="G289" s="11" t="str">
        <x:v>几何：X网格0、6、12m，Y网格0、5m，两层各3.6m，完整梁柱网；顶层增加仅承轴力斜杆从(0,0,7.2)连至(12,5,7.2)m，中途穿越处不连接；边界：六柱脚固定；荷载：D各梁向下8kN/m，WX顶层(12,5)节点Fx=20kN，WY顶层(0,5)节点Fy=15kN；组合D、D+WX、D+WY；属性：M1、柱C1、梁B1、斜杆A1，无刚性楼板。</x:v>
      </x:c>
      <x:c r="H289" s="11" t="str">
        <x:v>平面斜撑不是立面斜柱，跨越中间梁但不设中间连接。</x:v>
      </x:c>
      <x:c r="I289" s="11" t="str">
        <x:v>无</x:v>
      </x:c>
      <x:c r="J289" s="11" t="str">
        <x:v>无</x:v>
      </x:c>
      <x:c r="K289" s="11" t="str">
        <x:v>普通空间框架增加实际屋盖轴力斜撑，不能以默认刚性楼板替代。</x:v>
      </x:c>
      <x:c r="L289" s="11" t="str">
        <x:v>多组合执行契约需验证；本题新增几何/属性与真值均待独立核验；材料截面代号须在本题附录定值。梁柱与轴力杆混合单元链路待验证。</x:v>
      </x:c>
      <x:c r="M289" s="11" t="str">
        <x:v>逐字段材料/截面数值及单位；完整支承自由度、荷载坐标与结果观测点；局部轴和三向荷载约定；完整工况/组合系数表</x:v>
      </x:c>
      <x:c r="N289" s="11" t="str">
        <x:v>独立规划骨架；可执行模型/数值真值待生成</x:v>
      </x:c>
      <x:c r="O289" s="30" t="n">
        <x:f>COUNTIFS('300题规划'!$C$2:$C$301,A289)</x:f>
        <x:v>1</x:v>
      </x:c>
      <x:c r="P289" s="5" t="str">
        <x:f>INDEX('300题规划'!$Y$2:$Y$301,MATCH(B289,'300题规划'!$A$2:$A$301,0))</x:f>
        <x:v>OpenSees</x:v>
      </x:c>
      <x:c r="Q289" s="5" t="str">
        <x:f>INDEX('300题规划'!$AB$2:$AB$301,MATCH(B289,'300题规划'!$A$2:$A$301,0))</x:f>
        <x:v>待逐题验证</x:v>
      </x:c>
    </x:row>
    <x:row r="290" ht="54" customHeight="1">
      <x:c r="A290" s="28" t="str">
        <x:v>M-MM-089</x:v>
      </x:c>
      <x:c r="B290" s="6" t="str">
        <x:v>MM-089</x:v>
      </x:c>
      <x:c r="C290" s="6" t="str">
        <x:v>内柱铰基多组截面空间框架</x:v>
      </x:c>
      <x:c r="D290" s="6" t="str">
        <x:v>空间框架</x:v>
      </x:c>
      <x:c r="E290" s="6" t="str">
        <x:v>3D</x:v>
      </x:c>
      <x:c r="F290" s="6" t="str">
        <x:v>L3</x:v>
      </x:c>
      <x:c r="G290" s="6" t="str">
        <x:v>几何：X网格0、4、8、12m，Y网格0、5、10m，两层各3.6m，完整3×2跨梁柱网；边界：两根内柱底仅约束三向平移、释放旋转，其余底柱六自由度固定；荷载：各梁向下8kN/m，顶层远角Fx=20、Fy=10kN；属性：钢M1，角/边/内柱C1/C2/C3，Y梁B1、外排X梁B2、中央排X梁B3，无刚性楼板。</x:v>
      </x:c>
      <x:c r="H290" s="6" t="str">
        <x:v>柱位置、支座类型和六种截面组同时由平面与表格规定。</x:v>
      </x:c>
      <x:c r="I290" s="6" t="str">
        <x:v>无</x:v>
      </x:c>
      <x:c r="J290" s="6" t="str">
        <x:v>无</x:v>
      </x:c>
      <x:c r="K290" s="6" t="str">
        <x:v>2×2跨改为3×2跨并采用内柱铰基及中央排梁单独截面组。</x:v>
      </x:c>
      <x:c r="L290" s="6" t="str">
        <x:v>基础工具；本题新增几何/属性与真值均待独立核验；材料截面代号须在本题附录定值。</x:v>
      </x:c>
      <x:c r="M290" s="6" t="str">
        <x:v>逐字段材料/截面数值及单位；完整支承自由度、荷载坐标与结果观测点；局部轴和三向荷载约定</x:v>
      </x:c>
      <x:c r="N290" s="6" t="str">
        <x:v>独立规划骨架；可执行模型/数值真值待生成</x:v>
      </x:c>
      <x:c r="O290" s="30" t="n">
        <x:f>COUNTIFS('300题规划'!$C$2:$C$301,A290)</x:f>
        <x:v>1</x:v>
      </x:c>
      <x:c r="P290" s="5" t="str">
        <x:f>INDEX('300题规划'!$Y$2:$Y$301,MATCH(B290,'300题规划'!$A$2:$A$301,0))</x:f>
        <x:v>PKPM</x:v>
      </x:c>
      <x:c r="Q290" s="5" t="str">
        <x:f>INDEX('300题规划'!$AB$2:$AB$301,MATCH(B290,'300题规划'!$A$2:$A$301,0))</x:f>
        <x:v>存在已知接口缺口</x:v>
      </x:c>
    </x:row>
    <x:row r="291" ht="54" customHeight="1">
      <x:c r="A291" s="27" t="str">
        <x:v>M-MM-090</x:v>
      </x:c>
      <x:c r="B291" s="11" t="str">
        <x:v>MM-090</x:v>
      </x:c>
      <x:c r="C291" s="11" t="str">
        <x:v>角柱铰基与分段轴向旋转框架</x:v>
      </x:c>
      <x:c r="D291" s="11" t="str">
        <x:v>空间框架</x:v>
      </x:c>
      <x:c r="E291" s="11" t="str">
        <x:v>3D</x:v>
      </x:c>
      <x:c r="F291" s="11" t="str">
        <x:v>L3</x:v>
      </x:c>
      <x:c r="G291" s="11" t="str">
        <x:v>几何：X网格0、6m，Y网格0、5、10m，两层各3.6m，完整梁柱网；边界：前左底柱三向平移固定但旋转释放，其余五底柱固定；荷载：全部梁向下8kN/m，后右顶点Fx=20、Fy=15kN；属性：钢M1、矩形柱C1、梁B1；仅前左和后右柱的上层段局部轴旋转90度，下层段保持原向，无刚性楼板。</x:v>
      </x:c>
      <x:c r="H291" s="11" t="str">
        <x:v>柱的上段朝向不能覆盖下段，角柱铰基又改变空间约束。</x:v>
      </x:c>
      <x:c r="I291" s="11" t="str">
        <x:v>无</x:v>
      </x:c>
      <x:c r="J291" s="11" t="str">
        <x:v>无</x:v>
      </x:c>
      <x:c r="K291" s="11" t="str">
        <x:v>局部柱轴旋转扩展为仅上层段旋转，并新增一个铰接角柱基础。</x:v>
      </x:c>
      <x:c r="L291" s="11" t="str">
        <x:v>局部轴输入与适配需验证；本题新增几何/属性与真值均待独立核验；材料截面代号须在本题附录定值。</x:v>
      </x:c>
      <x:c r="M291" s="11" t="str">
        <x:v>逐字段材料/截面数值及单位；完整支承自由度、荷载坐标与结果观测点；局部轴和三向荷载约定</x:v>
      </x:c>
      <x:c r="N291" s="11" t="str">
        <x:v>独立规划骨架；可执行模型/数值真值待生成</x:v>
      </x:c>
      <x:c r="O291" s="30" t="n">
        <x:f>COUNTIFS('300题规划'!$C$2:$C$301,A291)</x:f>
        <x:v>1</x:v>
      </x:c>
      <x:c r="P291" s="5" t="str">
        <x:f>INDEX('300题规划'!$Y$2:$Y$301,MATCH(B291,'300题规划'!$A$2:$A$301,0))</x:f>
        <x:v>OpenSees</x:v>
      </x:c>
      <x:c r="Q291" s="5" t="str">
        <x:f>INDEX('300题规划'!$AB$2:$AB$301,MATCH(B291,'300题规划'!$A$2:$A$301,0))</x:f>
        <x:v>待逐题验证</x:v>
      </x:c>
    </x:row>
    <x:row r="292" ht="54" customHeight="1">
      <x:c r="A292" s="28" t="str">
        <x:v>M-MM-091</x:v>
      </x:c>
      <x:c r="B292" s="6" t="str">
        <x:v>MM-091</x:v>
      </x:c>
      <x:c r="C292" s="6" t="str">
        <x:v>局部缺梁且偏区加载空间框架</x:v>
      </x:c>
      <x:c r="D292" s="6" t="str">
        <x:v>空间框架</x:v>
      </x:c>
      <x:c r="E292" s="6" t="str">
        <x:v>3D</x:v>
      </x:c>
      <x:c r="F292" s="6" t="str">
        <x:v>L3</x:v>
      </x:c>
      <x:c r="G292" s="6" t="str">
        <x:v>几何：X网格0、6、12m，Y网格0、5、10m，两层各3.6m；柱网完整，顶层删除x=6m、y=0至5m的Y梁，其余梁完整；边界：九底柱脚固定；荷载：D所有实际梁向下8kN/m，L仅顶层后右格四条边梁向下6kN/m，每根只加一次；组合D、D+L；属性：钢M1、柱C1、梁B1，无刚性楼板。</x:v>
      </x:c>
      <x:c r="H292" s="6" t="str">
        <x:v>图中缺梁位于未加活载区，荷载框线不可被误建为实体梁。</x:v>
      </x:c>
      <x:c r="I292" s="6" t="str">
        <x:v>无</x:v>
      </x:c>
      <x:c r="J292" s="6" t="str">
        <x:v>无</x:v>
      </x:c>
      <x:c r="K292" s="6" t="str">
        <x:v>规则梁网增加一处局部缺梁，活载作用在另一区域，区分拓扑与载荷证据。</x:v>
      </x:c>
      <x:c r="L292" s="6" t="str">
        <x:v>基础工具；本题新增几何/属性与真值均待独立核验；材料截面代号须在本题附录定值。多组合执行契约待验证（D与D+L分别执行、保存和取值）。</x:v>
      </x:c>
      <x:c r="M292" s="6" t="str">
        <x:v>逐字段材料/截面数值及单位；完整支承自由度、荷载坐标与结果观测点；局部轴和三向荷载约定；完整工况/组合系数表</x:v>
      </x:c>
      <x:c r="N292" s="6" t="str">
        <x:v>独立规划骨架；可执行模型/数值真值待生成</x:v>
      </x:c>
      <x:c r="O292" s="30" t="n">
        <x:f>COUNTIFS('300题规划'!$C$2:$C$301,A292)</x:f>
        <x:v>1</x:v>
      </x:c>
      <x:c r="P292" s="5" t="str">
        <x:f>INDEX('300题规划'!$Y$2:$Y$301,MATCH(B292,'300题规划'!$A$2:$A$301,0))</x:f>
        <x:v>YJK</x:v>
      </x:c>
      <x:c r="Q292" s="5" t="str">
        <x:f>INDEX('300题规划'!$AB$2:$AB$301,MATCH(B292,'300题规划'!$A$2:$A$301,0))</x:f>
        <x:v>存在已知接口缺口</x:v>
      </x:c>
    </x:row>
    <x:row r="293" ht="54" customHeight="1">
      <x:c r="A293" s="27" t="str">
        <x:v>M-MM-092</x:v>
      </x:c>
      <x:c r="B293" s="11" t="str">
        <x:v>MM-092</x:v>
      </x:c>
      <x:c r="C293" s="11" t="str">
        <x:v>双坡空间屋盖框架</x:v>
      </x:c>
      <x:c r="D293" s="11" t="str">
        <x:v>空间框架</x:v>
      </x:c>
      <x:c r="E293" s="11" t="str">
        <x:v>3D</x:v>
      </x:c>
      <x:c r="F293" s="11" t="str">
        <x:v>L3</x:v>
      </x:c>
      <x:c r="G293" s="11" t="str">
        <x:v>几何：单层X网格0、6、12m，Y网格0、5m；x=0及12m列柱顶z=6m，x=6m列柱顶z=8m，各网格相邻顶点刚接屋面梁；边界：六柱脚固定；荷载：所有屋面梁按实际长度全局向下6kN/m；属性：钢M1、柱C1、坡向X梁B1、Y梁B2，无刚性楼板。</x:v>
      </x:c>
      <x:c r="H293" s="11" t="str">
        <x:v>两侧坡向相反且有一整条屋脊柱线，多视图共同确定。</x:v>
      </x:c>
      <x:c r="I293" s="11" t="str">
        <x:v>无</x:v>
      </x:c>
      <x:c r="J293" s="11" t="str">
        <x:v>无</x:v>
      </x:c>
      <x:c r="K293" s="11" t="str">
        <x:v>单坡空间屋盖改为双坡屋盖及中部屋脊柱列。</x:v>
      </x:c>
      <x:c r="L293" s="11" t="str">
        <x:v>斜杆荷载与局部轴需验证；本题新增几何/属性与真值均待独立核验；材料截面代号须在本题附录定值。斜杆全局荷载和局部轴适配待验证。</x:v>
      </x:c>
      <x:c r="M293" s="11" t="str">
        <x:v>逐字段材料/截面数值及单位；完整支承自由度、荷载坐标与结果观测点；局部轴和三向荷载约定</x:v>
      </x:c>
      <x:c r="N293" s="11" t="str">
        <x:v>独立规划骨架；可执行模型/数值真值待生成</x:v>
      </x:c>
      <x:c r="O293" s="30" t="n">
        <x:f>COUNTIFS('300题规划'!$C$2:$C$301,A293)</x:f>
        <x:v>1</x:v>
      </x:c>
      <x:c r="P293" s="5" t="str">
        <x:f>INDEX('300题规划'!$Y$2:$Y$301,MATCH(B293,'300题规划'!$A$2:$A$301,0))</x:f>
        <x:v>OpenSees</x:v>
      </x:c>
      <x:c r="Q293" s="5" t="str">
        <x:f>INDEX('300题规划'!$AB$2:$AB$301,MATCH(B293,'300题规划'!$A$2:$A$301,0))</x:f>
        <x:v>待逐题验证</x:v>
      </x:c>
    </x:row>
    <x:row r="294" ht="54" customHeight="1">
      <x:c r="A294" s="28" t="str">
        <x:v>M-MM-093</x:v>
      </x:c>
      <x:c r="B294" s="6" t="str">
        <x:v>MM-093</x:v>
      </x:c>
      <x:c r="C294" s="6" t="str">
        <x:v>上下层反侧支撑空间框架</x:v>
      </x:c>
      <x:c r="D294" s="6" t="str">
        <x:v>空间框架</x:v>
      </x:c>
      <x:c r="E294" s="6" t="str">
        <x:v>3D</x:v>
      </x:c>
      <x:c r="F294" s="6" t="str">
        <x:v>L3</x:v>
      </x:c>
      <x:c r="G294" s="6" t="str">
        <x:v>几何：6m×5m平面、两层各3.6m完整刚接梁柱框架；第一层前侧Y=0立面设X形轴力支撑，第二层后侧Y=5立面设X形轴力支撑，所有交叉处不连接；边界：四柱脚固定；荷载：各梁向下8kN/m，顶层右后角Fx=20、Fy=15kN；属性：钢M1、柱C1、梁B1、支撑A1，无刚性楼板。</x:v>
      </x:c>
      <x:c r="H294" s="6" t="str">
        <x:v>两层支撑分别位于相反立面，轴测投影不能把它们合到同一面。</x:v>
      </x:c>
      <x:c r="I294" s="6" t="str">
        <x:v>无</x:v>
      </x:c>
      <x:c r="J294" s="6" t="str">
        <x:v>无</x:v>
      </x:c>
      <x:c r="K294" s="6" t="str">
        <x:v>同一侧局部支撑改为上下层反侧支撑，形成空间不对称传力。</x:v>
      </x:c>
      <x:c r="L294" s="6" t="str">
        <x:v>混合单元工具链需验证；本题新增几何/属性与真值均待独立核验；材料截面代号须在本题附录定值。梁柱与轴力杆混合单元链路待验证。</x:v>
      </x:c>
      <x:c r="M294" s="6" t="str">
        <x:v>逐字段材料/截面数值及单位；完整支承自由度、荷载坐标与结果观测点；局部轴和三向荷载约定</x:v>
      </x:c>
      <x:c r="N294" s="6" t="str">
        <x:v>独立规划骨架；可执行模型/数值真值待生成</x:v>
      </x:c>
      <x:c r="O294" s="30" t="n">
        <x:f>COUNTIFS('300题规划'!$C$2:$C$301,A294)</x:f>
        <x:v>1</x:v>
      </x:c>
      <x:c r="P294" s="5" t="str">
        <x:f>INDEX('300题规划'!$Y$2:$Y$301,MATCH(B294,'300题规划'!$A$2:$A$301,0))</x:f>
        <x:v>OpenSees</x:v>
      </x:c>
      <x:c r="Q294" s="5" t="str">
        <x:f>INDEX('300题规划'!$AB$2:$AB$301,MATCH(B294,'300题规划'!$A$2:$A$301,0))</x:f>
        <x:v>待逐题验证</x:v>
      </x:c>
    </x:row>
    <x:row r="295" ht="67.5" customHeight="1">
      <x:c r="A295" s="27" t="str">
        <x:v>M-MM-094</x:v>
      </x:c>
      <x:c r="B295" s="11" t="str">
        <x:v>MM-094</x:v>
      </x:c>
      <x:c r="C295" s="11" t="str">
        <x:v>基础错高的源坐标空间框架</x:v>
      </x:c>
      <x:c r="D295" s="11" t="str">
        <x:v>空间框架</x:v>
      </x:c>
      <x:c r="E295" s="11" t="str">
        <x:v>3D</x:v>
      </x:c>
      <x:c r="F295" s="11" t="str">
        <x:v>L3</x:v>
      </x:c>
      <x:c r="G295" s="11" t="str">
        <x:v>几何：全局X网格0、4、11m，Y网格0、6m，楼层z=3.5、7.5m；前排柱底z=0、后排柱底z=-1m，梁柱网完整；右手源坐标(u,v,w)以v向上，按(X,Y,Z)=(u,-w,v)转换；边界：六实际柱脚固定；荷载：各梁全局向下8kN/m，前右顶点源坐标力(Fu,Fv,Fw)=(10,-20,5)kN；属性：钢M1、柱C1、梁B1，无刚性楼板。</x:v>
      </x:c>
      <x:c r="H295" s="11" t="str">
        <x:v>右手源坐标到右手全局坐标的变换必须同时作用于不同基础标高、约束方向和三向荷载。</x:v>
      </x:c>
      <x:c r="I295" s="11" t="str">
        <x:v>无</x:v>
      </x:c>
      <x:c r="J295" s="11" t="str">
        <x:v>无</x:v>
      </x:c>
      <x:c r="K295" s="11" t="str">
        <x:v>规则同高基础改成前后排基础错高，保留源坐标变换形成新的柱长分布。</x:v>
      </x:c>
      <x:c r="L295" s="11" t="str">
        <x:v>坐标转换协议需验证；本题新增几何/属性与真值均待独立核验；材料截面代号须在本题附录定值。</x:v>
      </x:c>
      <x:c r="M295" s="11" t="str">
        <x:v>逐字段材料/截面数值及单位；完整支承自由度、荷载坐标与结果观测点；局部轴和三向荷载约定</x:v>
      </x:c>
      <x:c r="N295" s="11" t="str">
        <x:v>独立规划骨架；可执行模型/数值真值待生成</x:v>
      </x:c>
      <x:c r="O295" s="30" t="n">
        <x:f>COUNTIFS('300题规划'!$C$2:$C$301,A295)</x:f>
        <x:v>1</x:v>
      </x:c>
      <x:c r="P295" s="5" t="str">
        <x:f>INDEX('300题规划'!$Y$2:$Y$301,MATCH(B295,'300题规划'!$A$2:$A$301,0))</x:f>
        <x:v>OpenSees</x:v>
      </x:c>
      <x:c r="Q295" s="5" t="str">
        <x:f>INDEX('300题规划'!$AB$2:$AB$301,MATCH(B295,'300题规划'!$A$2:$A$301,0))</x:f>
        <x:v>待逐题验证</x:v>
      </x:c>
    </x:row>
    <x:row r="296" ht="52.5" customHeight="1">
      <x:c r="A296" s="28" t="str">
        <x:v>M-MM-095</x:v>
      </x:c>
      <x:c r="B296" s="6" t="str">
        <x:v>MM-095</x:v>
      </x:c>
      <x:c r="C296" s="6" t="str">
        <x:v>双材料分段轴压柱</x:v>
      </x:c>
      <x:c r="D296" s="6" t="str">
        <x:v>柱</x:v>
      </x:c>
      <x:c r="E296" s="6" t="str">
        <x:v>2D</x:v>
      </x:c>
      <x:c r="F296" s="6" t="str">
        <x:v>L2</x:v>
      </x:c>
      <x:c r="G296" s="6" t="str">
        <x:v>几何：竖柱高4.5m，z=2m设相连材料分界节点；边界：柱底固定；荷载：柱顶全局向下500kN；属性：截面均400×400mm，下段C40、上段C30，各材料完整弹性参数另附。</x:v>
      </x:c>
      <x:c r="H296" s="6" t="str">
        <x:v>柱外形相同但分界两侧材料不同，不能使用全柱单一E。</x:v>
      </x:c>
      <x:c r="I296" s="6" t="str">
        <x:v>independent-column-static</x:v>
      </x:c>
      <x:c r="J296" s="6" t="str">
        <x:v>column-concrete-4p5-500</x:v>
      </x:c>
      <x:c r="K296" s="6" t="str">
        <x:v>均一混凝土柱改为上下段双材料，轴向变形由两段柔度组成。</x:v>
      </x:c>
      <x:c r="L296" s="6" t="str">
        <x:v>基础工具；本题新增几何/属性与真值均待独立核验；材料截面代号须在本题附录定值。</x:v>
      </x:c>
      <x:c r="M296" s="6" t="str">
        <x:v>逐字段材料/截面数值及单位；完整支承自由度、荷载坐标与结果观测点</x:v>
      </x:c>
      <x:c r="N296" s="6" t="str">
        <x:v>独立规划骨架；可执行模型/数值真值待生成</x:v>
      </x:c>
      <x:c r="O296" s="30" t="n">
        <x:f>COUNTIFS('300题规划'!$C$2:$C$301,A296)</x:f>
        <x:v>1</x:v>
      </x:c>
      <x:c r="P296" s="5" t="str">
        <x:f>INDEX('300题规划'!$Y$2:$Y$301,MATCH(B296,'300题规划'!$A$2:$A$301,0))</x:f>
        <x:v>OpenSees</x:v>
      </x:c>
      <x:c r="Q296" s="5" t="str">
        <x:f>INDEX('300题规划'!$AB$2:$AB$301,MATCH(B296,'300题规划'!$A$2:$A$301,0))</x:f>
        <x:v>待逐题验证</x:v>
      </x:c>
    </x:row>
    <x:row r="297" ht="52.5" customHeight="1">
      <x:c r="A297" s="27" t="str">
        <x:v>M-MM-096</x:v>
      </x:c>
      <x:c r="B297" s="11" t="str">
        <x:v>MM-096</x:v>
      </x:c>
      <x:c r="C297" s="11" t="str">
        <x:v>中高侧向撑点混凝土柱</x:v>
      </x:c>
      <x:c r="D297" s="11" t="str">
        <x:v>柱</x:v>
      </x:c>
      <x:c r="E297" s="11" t="str">
        <x:v>2D</x:v>
      </x:c>
      <x:c r="F297" s="11" t="str">
        <x:v>L2</x:v>
      </x:c>
      <x:c r="G297" s="11" t="str">
        <x:v>几何：竖柱高4.2m，在z=2.1m设连接节点；边界：底部固定，中间节点仅约束全局X平移，竖向和转角自由；荷载：顶端Fz=-600、Fx=30kN；属性：C30、450×450mm柱。</x:v>
      </x:c>
      <x:c r="H297" s="11" t="str">
        <x:v>侧向撑点是单向约束，不等于中间固定端或竖向支座。</x:v>
      </x:c>
      <x:c r="I297" s="11" t="str">
        <x:v>std-column-axial-600kn-lateral30</x:v>
      </x:c>
      <x:c r="J297" s="11" t="str">
        <x:v>column-concrete-4p2-600-30</x:v>
      </x:c>
      <x:c r="K297" s="11" t="str">
        <x:v>普通悬臂柱增加中高水平约束，改变弯曲跨度与反力分配。</x:v>
      </x:c>
      <x:c r="L297" s="11" t="str">
        <x:v>基础工具；本题新增几何/属性与真值均待独立核验；材料截面代号须在本题附录定值。</x:v>
      </x:c>
      <x:c r="M297" s="11" t="str">
        <x:v>逐字段材料/截面数值及单位；完整支承自由度、荷载坐标与结果观测点</x:v>
      </x:c>
      <x:c r="N297" s="11" t="str">
        <x:v>独立规划骨架；可执行模型/数值真值待生成</x:v>
      </x:c>
      <x:c r="O297" s="30" t="n">
        <x:f>COUNTIFS('300题规划'!$C$2:$C$301,A297)</x:f>
        <x:v>1</x:v>
      </x:c>
      <x:c r="P297" s="5" t="str">
        <x:f>INDEX('300题规划'!$Y$2:$Y$301,MATCH(B297,'300题规划'!$A$2:$A$301,0))</x:f>
        <x:v>OpenSees</x:v>
      </x:c>
      <x:c r="Q297" s="5" t="str">
        <x:f>INDEX('300题规划'!$AB$2:$AB$301,MATCH(B297,'300题规划'!$A$2:$A$301,0))</x:f>
        <x:v>待逐题验证</x:v>
      </x:c>
    </x:row>
    <x:row r="298" ht="54" customHeight="1">
      <x:c r="A298" s="28" t="str">
        <x:v>M-MM-097</x:v>
      </x:c>
      <x:c r="B298" s="6" t="str">
        <x:v>MM-097</x:v>
      </x:c>
      <x:c r="C298" s="6" t="str">
        <x:v>顶端侧向导向的受弯钢柱</x:v>
      </x:c>
      <x:c r="D298" s="6" t="str">
        <x:v>柱</x:v>
      </x:c>
      <x:c r="E298" s="6" t="str">
        <x:v>2D</x:v>
      </x:c>
      <x:c r="F298" s="6" t="str">
        <x:v>L2</x:v>
      </x:c>
      <x:c r="G298" s="6" t="str">
        <x:v>几何：5m竖柱，中点z=2.5m设相连节点；边界：底端平面铰支，顶端仅约束X平移、竖向自由，两端转角自由；荷载：顶端向下700kN，中点Fx=10kN；属性：钢材M1、HW300×300完整弹性截面记录。</x:v>
      </x:c>
      <x:c r="H298" s="6" t="str">
        <x:v>顶端导向支承允许轴向缩短，不能误锁竖向自由度。</x:v>
      </x:c>
      <x:c r="I298" s="6" t="str">
        <x:v>std-column-steel-5m-en</x:v>
      </x:c>
      <x:c r="J298" s="6" t="str">
        <x:v>column-steel-5m-700</x:v>
      </x:c>
      <x:c r="K298" s="6" t="str">
        <x:v>固端轴压悬臂柱改为铰—侧向导向支承并增加跨内横向力。</x:v>
      </x:c>
      <x:c r="L298" s="6" t="str">
        <x:v>基础工具；本题新增几何/属性与真值均待独立核验；材料截面代号须在本题附录定值。</x:v>
      </x:c>
      <x:c r="M298" s="6" t="str">
        <x:v>逐字段材料/截面数值及单位；完整支承自由度、荷载坐标与结果观测点</x:v>
      </x:c>
      <x:c r="N298" s="6" t="str">
        <x:v>独立规划骨架；可执行模型/数值真值待生成</x:v>
      </x:c>
      <x:c r="O298" s="30" t="n">
        <x:f>COUNTIFS('300题规划'!$C$2:$C$301,A298)</x:f>
        <x:v>1</x:v>
      </x:c>
      <x:c r="P298" s="5" t="str">
        <x:f>INDEX('300题规划'!$Y$2:$Y$301,MATCH(B298,'300题规划'!$A$2:$A$301,0))</x:f>
        <x:v>OpenSees</x:v>
      </x:c>
      <x:c r="Q298" s="5" t="str">
        <x:f>INDEX('300题规划'!$AB$2:$AB$301,MATCH(B298,'300题规划'!$A$2:$A$301,0))</x:f>
        <x:v>待逐题验证</x:v>
      </x:c>
    </x:row>
    <x:row r="299" ht="54" customHeight="1">
      <x:c r="A299" s="27" t="str">
        <x:v>M-MM-098</x:v>
      </x:c>
      <x:c r="B299" s="11" t="str">
        <x:v>MM-098</x:v>
      </x:c>
      <x:c r="C299" s="11" t="str">
        <x:v>中部带侧臂空间悬臂柱</x:v>
      </x:c>
      <x:c r="D299" s="11" t="str">
        <x:v>柱</x:v>
      </x:c>
      <x:c r="E299" s="11" t="str">
        <x:v>3D</x:v>
      </x:c>
      <x:c r="F299" s="11" t="str">
        <x:v>L3</x:v>
      </x:c>
      <x:c r="G299" s="11" t="str">
        <x:v>几何：6m竖柱，在z=3m沿全局Y正向刚接2m短梁；边界：柱底六自由度固定，短梁端自由；荷载：柱顶Fx=20、Fy=15、Fz=-400kN，短梁端Fz=-80kN；属性：钢M1、非对称柱截面C1、短梁B1，局部轴显式给出。</x:v>
      </x:c>
      <x:c r="H299" s="11" t="str">
        <x:v>中部侧臂在一幅立面中重合，必须用另一视图辨认偏心。</x:v>
      </x:c>
      <x:c r="I299" s="11" t="str">
        <x:v>无</x:v>
      </x:c>
      <x:c r="J299" s="11" t="str">
        <x:v>无</x:v>
      </x:c>
      <x:c r="K299" s="11" t="str">
        <x:v>单根空间柱增加中高Y向侧臂及偏心竖向荷载，形成附加Mx弯矩和双向弯曲；本一阶荷载下绕柱轴Mz应为零（容差内）。</x:v>
      </x:c>
      <x:c r="L299" s="11" t="str">
        <x:v>空间局部轴需验证；本题新增几何/属性与真值均待独立核验；材料截面代号须在本题附录定值。</x:v>
      </x:c>
      <x:c r="M299" s="11" t="str">
        <x:v>逐字段材料/截面数值及单位；完整支承自由度、荷载坐标与结果观测点；局部轴和三向荷载约定</x:v>
      </x:c>
      <x:c r="N299" s="11" t="str">
        <x:v>独立规划骨架；可执行模型/数值真值待生成</x:v>
      </x:c>
      <x:c r="O299" s="30" t="n">
        <x:f>COUNTIFS('300题规划'!$C$2:$C$301,A299)</x:f>
        <x:v>1</x:v>
      </x:c>
      <x:c r="P299" s="5" t="str">
        <x:f>INDEX('300题规划'!$Y$2:$Y$301,MATCH(B299,'300题规划'!$A$2:$A$301,0))</x:f>
        <x:v>OpenSees</x:v>
      </x:c>
      <x:c r="Q299" s="5" t="str">
        <x:f>INDEX('300题规划'!$AB$2:$AB$301,MATCH(B299,'300题规划'!$A$2:$A$301,0))</x:f>
        <x:v>待逐题验证</x:v>
      </x:c>
    </x:row>
    <x:row r="300" ht="54" customHeight="1">
      <x:c r="A300" s="28" t="str">
        <x:v>M-MM-099</x:v>
      </x:c>
      <x:c r="B300" s="6" t="str">
        <x:v>MM-099</x:v>
      </x:c>
      <x:c r="C300" s="6" t="str">
        <x:v>上段倾斜的分段截面柱</x:v>
      </x:c>
      <x:c r="D300" s="6" t="str">
        <x:v>柱</x:v>
      </x:c>
      <x:c r="E300" s="6" t="str">
        <x:v>2D</x:v>
      </x:c>
      <x:c r="F300" s="6" t="str">
        <x:v>L3</x:v>
      </x:c>
      <x:c r="G300" s="6" t="str">
        <x:v>几何：XZ面折线柱通过(0,0)、(0,3)、(1,8)m，折点刚接；边界：底部固定；荷载：末端Fx=20、Fz=-300kN；属性：钢M1，下段C1、上段C2，斜段局部轴明确。</x:v>
      </x:c>
      <x:c r="H300" s="6" t="str">
        <x:v>截面分界与柱轴折点重合，但不是内铰或支座。</x:v>
      </x:c>
      <x:c r="I300" s="6" t="str">
        <x:v>无</x:v>
      </x:c>
      <x:c r="J300" s="6" t="str">
        <x:v>无</x:v>
      </x:c>
      <x:c r="K300" s="6" t="str">
        <x:v>竖直变截面柱改为上段倾斜，真实偏心和局部轴共同影响响应。</x:v>
      </x:c>
      <x:c r="L300" s="6" t="str">
        <x:v>基础工具；本题新增几何/属性与真值均待独立核验；材料截面代号须在本题附录定值。斜杆全局荷载和局部轴适配待验证。</x:v>
      </x:c>
      <x:c r="M300" s="6" t="str">
        <x:v>逐字段材料/截面数值及单位；完整支承自由度、荷载坐标与结果观测点</x:v>
      </x:c>
      <x:c r="N300" s="6" t="str">
        <x:v>独立规划骨架；可执行模型/数值真值待生成</x:v>
      </x:c>
      <x:c r="O300" s="30" t="n">
        <x:f>COUNTIFS('300题规划'!$C$2:$C$301,A300)</x:f>
        <x:v>1</x:v>
      </x:c>
      <x:c r="P300" s="5" t="str">
        <x:f>INDEX('300题规划'!$Y$2:$Y$301,MATCH(B300,'300题规划'!$A$2:$A$301,0))</x:f>
        <x:v>OpenSees</x:v>
      </x:c>
      <x:c r="Q300" s="5" t="str">
        <x:f>INDEX('300题规划'!$AB$2:$AB$301,MATCH(B300,'300题规划'!$A$2:$A$301,0))</x:f>
        <x:v>待逐题验证</x:v>
      </x:c>
    </x:row>
    <x:row r="301" ht="54" customHeight="1">
      <x:c r="A301" s="29" t="str">
        <x:v>M-MM-100</x:v>
      </x:c>
      <x:c r="B301" s="12" t="str">
        <x:v>MM-100</x:v>
      </x:c>
      <x:c r="C301" s="12" t="str">
        <x:v>柱顶双向短臂空间支架</x:v>
      </x:c>
      <x:c r="D301" s="12" t="str">
        <x:v>柱</x:v>
      </x:c>
      <x:c r="E301" s="12" t="str">
        <x:v>3D</x:v>
      </x:c>
      <x:c r="F301" s="12" t="str">
        <x:v>L3</x:v>
      </x:c>
      <x:c r="G301" s="12" t="str">
        <x:v>几何：5m竖柱，柱顶刚接两短梁，分别沿+X伸2m、沿-Y伸1.5m；边界：柱底六自由度固定，两短梁端自由；荷载：X臂端Fz=-200kN，Y臂端Fx=10、Fz=-100kN；属性：钢M1、柱C1、X臂B1、Y臂B2，全部真实弹性梁柱而非刚臂。</x:v>
      </x:c>
      <x:c r="H301" s="12" t="str">
        <x:v>两正交短臂在不同投影中显形，端荷载不能都归到柱顶。</x:v>
      </x:c>
      <x:c r="I301" s="12" t="str">
        <x:v>无</x:v>
      </x:c>
      <x:c r="J301" s="12" t="str">
        <x:v>无</x:v>
      </x:c>
      <x:c r="K301" s="12" t="str">
        <x:v>单一短臂柱改为双正交短臂及两端不同加载，形成更一般空间扭弯。</x:v>
      </x:c>
      <x:c r="L301" s="12" t="str">
        <x:v>空间梁柱连接需验证；本题新增几何/属性与真值均待独立核验；材料截面代号须在本题附录定值。</x:v>
      </x:c>
      <x:c r="M301" s="12" t="str">
        <x:v>逐字段材料/截面数值及单位；完整支承自由度、荷载坐标与结果观测点；局部轴和三向荷载约定</x:v>
      </x:c>
      <x:c r="N301" s="12" t="str">
        <x:v>独立规划骨架；可执行模型/数值真值待生成</x:v>
      </x:c>
      <x:c r="O301" s="30" t="n">
        <x:f>COUNTIFS('300题规划'!$C$2:$C$301,A301)</x:f>
        <x:v>1</x:v>
      </x:c>
      <x:c r="P301" s="5" t="str">
        <x:f>INDEX('300题规划'!$Y$2:$Y$301,MATCH(B301,'300题规划'!$A$2:$A$301,0))</x:f>
        <x:v>OpenSees</x:v>
      </x:c>
      <x:c r="Q301" s="5" t="str">
        <x:f>INDEX('300题规划'!$AB$2:$AB$301,MATCH(B301,'300题规划'!$A$2:$A$301,0))</x:f>
        <x:v>待逐题验证</x:v>
      </x:c>
    </x:row>
  </x:sheetData>
  <x:conditionalFormatting sqref="O2:O301">
    <x:cfRule type="cellIs" dxfId="4" priority="1" operator="notEqual">
      <x:formula>1</x:formula>
    </x:cfRule>
  </x:conditionalFormatting>
  <x:conditionalFormatting sqref="Q2:Q301">
    <x:cfRule type="containsText" dxfId="5" priority="2" operator="containsText" text="存在已知接口缺口"/>
  </x:conditionalFormatting>
  <x:pageMargins left="0.7" right="0.7" top="0.75" bottom="0.75" header="0.3" footer="0.3"/>
  <x:tableParts count="1">
    <x:tablePart xmlns:r="http://schemas.openxmlformats.org/officeDocument/2006/relationships" r:id="Re9c7a23d0b034d66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41.880001068115234" hidden="0" customWidth="1"/>
    <x:col min="2" max="2" width="18.5" hidden="0" customWidth="1"/>
    <x:col min="3" max="3" width="45.630001068115234" hidden="0" customWidth="1"/>
    <x:col min="4" max="4" width="10" hidden="0" customWidth="1"/>
    <x:col min="5" max="5" width="10" hidden="0" customWidth="1"/>
    <x:col min="6" max="6" width="13.130000114440918" hidden="0" customWidth="1"/>
    <x:col min="7" max="7" width="11.75" hidden="0" customWidth="1"/>
    <x:col min="8" max="8" width="47.5" hidden="0" customWidth="1"/>
    <x:col min="9" max="9" width="63.75" hidden="0" customWidth="1"/>
    <x:col min="10" max="10" width="15" hidden="0" customWidth="1"/>
    <x:col min="11" max="11" width="15" hidden="0" customWidth="1"/>
    <x:col min="12" max="12" width="55" hidden="0" customWidth="1"/>
    <x:col min="13" max="13" width="55.630001068115234" hidden="0" customWidth="1"/>
    <x:col min="14" max="14" width="18.75" hidden="0" customWidth="1"/>
  </x:cols>
  <x:sheetData>
    <x:row r="1" ht="33" customHeight="1">
      <x:c r="A1" s="10" t="str">
        <x:v>旧题 ID</x:v>
      </x:c>
      <x:c r="B1" s="10" t="str">
        <x:v>原任务大类</x:v>
      </x:c>
      <x:c r="C1" s="10" t="str">
        <x:v>原题描述</x:v>
      </x:c>
      <x:c r="D1" s="10" t="str">
        <x:v>原难度</x:v>
      </x:c>
      <x:c r="E1" s="10" t="str">
        <x:v>原语言</x:v>
      </x:c>
      <x:c r="F1" s="10" t="str">
        <x:v>原输入模态</x:v>
      </x:c>
      <x:c r="G1" s="10" t="str">
        <x:v>原用户轮数</x:v>
      </x:c>
      <x:c r="H1" s="10" t="str">
        <x:v>旧标答引用 ID</x:v>
      </x:c>
      <x:c r="I1" s="10" t="str">
        <x:v>源文件（本地）</x:v>
      </x:c>
      <x:c r="J1" s="10" t="str">
        <x:v>新题来源引用数</x:v>
      </x:c>
      <x:c r="K1" s="10" t="str">
        <x:v>模型来源引用数</x:v>
      </x:c>
      <x:c r="L1" s="10" t="str">
        <x:v>本次处理建议</x:v>
      </x:c>
      <x:c r="M1" s="10" t="str">
        <x:v>旧附件路径（仓库内）</x:v>
      </x:c>
      <x:c r="N1" s="10" t="str">
        <x:v>旧题指定求解器</x:v>
      </x:c>
    </x:row>
    <x:row r="2" ht="52.5" customHeight="1">
      <x:c r="A2" s="31" t="str">
        <x:v>beam-cantilever-point-load</x:v>
      </x:c>
      <x:c r="B2" s="5" t="str">
        <x:v>标准工作流</x:v>
      </x:c>
      <x:c r="C2" s="5" t="str">
        <x:v>Cantilever beam with end point load static analysis</x:v>
      </x:c>
      <x:c r="D2" s="5" t="str">
        <x:v>L1</x:v>
      </x:c>
      <x:c r="E2" s="5" t="str">
        <x:v>英文</x:v>
      </x:c>
      <x:c r="F2" s="5" t="str">
        <x:v>text</x:v>
      </x:c>
      <x:c r="G2" s="5" t="n">
        <x:v>1</x:v>
      </x:c>
      <x:c r="H2" s="5" t="str">
        <x:v>beam-cantilever-3m-point10</x:v>
      </x:c>
      <x:c r="I2" s="5" t="str">
        <x:v>G:/StructureClaw-All/structureclaw/tests/llm-benchmark/scenarios/standard_workflow/beam-cantilever-point-load.json</x:v>
      </x:c>
      <x:c r="J2" s="30" t="n">
        <x:f>COUNTIFS('300题规划'!$R$2:$R$301,A2)+COUNTIFS('300题规划'!$S$2:$S$301,A2)</x:f>
        <x:v>1</x:v>
      </x:c>
      <x:c r="K2" s="30" t="n">
        <x:f>COUNTIFS('300个模型'!$I$2:$I$301,A2)</x:f>
        <x:v>3</x:v>
      </x:c>
      <x:c r="L2" s="5" t="str">
        <x:v>题面/交互/素材来源；每题独立建模并按新契约重验真值</x:v>
      </x:c>
      <x:c r="M2" s="5" t="str">
        <x:v>无附件</x:v>
      </x:c>
      <x:c r="N2" s="5" t="str">
        <x:v>未指定</x:v>
      </x:c>
    </x:row>
    <x:row r="3" ht="52.5" customHeight="1">
      <x:c r="A3" s="32" t="str">
        <x:v>beam-overhanging-static</x:v>
      </x:c>
      <x:c r="B3" s="11" t="str">
        <x:v>标准工作流</x:v>
      </x:c>
      <x:c r="C3" s="11" t="str">
        <x:v>外伸梁静力分析</x:v>
      </x:c>
      <x:c r="D3" s="11" t="str">
        <x:v>L1</x:v>
      </x:c>
      <x:c r="E3" s="11" t="str">
        <x:v>中文</x:v>
      </x:c>
      <x:c r="F3" s="11" t="str">
        <x:v>text</x:v>
      </x:c>
      <x:c r="G3" s="11" t="n">
        <x:v>1</x:v>
      </x:c>
      <x:c r="H3" s="11" t="str">
        <x:v>beam-overhang-5m-1p5m-udl15</x:v>
      </x:c>
      <x:c r="I3" s="11" t="str">
        <x:v>G:/StructureClaw-All/structureclaw/tests/llm-benchmark/scenarios/standard_workflow/beam-overhanging-static.json</x:v>
      </x:c>
      <x:c r="J3" s="30" t="n">
        <x:f>COUNTIFS('300题规划'!$R$2:$R$301,A3)+COUNTIFS('300题规划'!$S$2:$S$301,A3)</x:f>
        <x:v>1</x:v>
      </x:c>
      <x:c r="K3" s="30" t="n">
        <x:f>COUNTIFS('300个模型'!$I$2:$I$301,A3)</x:f>
        <x:v>3</x:v>
      </x:c>
      <x:c r="L3" s="11" t="str">
        <x:v>题面/交互/素材来源；每题独立建模并按新契约重验真值</x:v>
      </x:c>
      <x:c r="M3" s="11" t="str">
        <x:v>无附件</x:v>
      </x:c>
      <x:c r="N3" s="11" t="str">
        <x:v>未指定</x:v>
      </x:c>
    </x:row>
    <x:row r="4" ht="52.5" customHeight="1">
      <x:c r="A4" s="33" t="str">
        <x:v>beam-simply-supported-en</x:v>
      </x:c>
      <x:c r="B4" s="6" t="str">
        <x:v>标准工作流</x:v>
      </x:c>
      <x:c r="C4" s="6" t="str">
        <x:v>Simply supported beam with UDL static analysis</x:v>
      </x:c>
      <x:c r="D4" s="6" t="str">
        <x:v>L1</x:v>
      </x:c>
      <x:c r="E4" s="6" t="str">
        <x:v>英文</x:v>
      </x:c>
      <x:c r="F4" s="6" t="str">
        <x:v>text</x:v>
      </x:c>
      <x:c r="G4" s="6" t="n">
        <x:v>1</x:v>
      </x:c>
      <x:c r="H4" s="6" t="str">
        <x:v>beam-simple-8m-udl15</x:v>
      </x:c>
      <x:c r="I4" s="6" t="str">
        <x:v>G:/StructureClaw-All/structureclaw/tests/llm-benchmark/scenarios/standard_workflow/beam-simply-supported-en.json</x:v>
      </x:c>
      <x:c r="J4" s="30" t="n">
        <x:f>COUNTIFS('300题规划'!$R$2:$R$301,A4)+COUNTIFS('300题规划'!$S$2:$S$301,A4)</x:f>
        <x:v>1</x:v>
      </x:c>
      <x:c r="K4" s="30" t="n">
        <x:f>COUNTIFS('300个模型'!$I$2:$I$301,A4)</x:f>
        <x:v>3</x:v>
      </x:c>
      <x:c r="L4" s="6" t="str">
        <x:v>题面/交互/素材来源；每题独立建模并按新契约重验真值</x:v>
      </x:c>
      <x:c r="M4" s="6" t="str">
        <x:v>无附件</x:v>
      </x:c>
      <x:c r="N4" s="6" t="str">
        <x:v>未指定</x:v>
      </x:c>
    </x:row>
    <x:row r="5" ht="52.5" customHeight="1">
      <x:c r="A5" s="32" t="str">
        <x:v>beam-static-6m</x:v>
      </x:c>
      <x:c r="B5" s="11" t="str">
        <x:v>标准工作流</x:v>
      </x:c>
      <x:c r="C5" s="11" t="str">
        <x:v>Simply supported beam 6m UDL static analysis</x:v>
      </x:c>
      <x:c r="D5" s="11" t="str">
        <x:v>L1</x:v>
      </x:c>
      <x:c r="E5" s="11" t="str">
        <x:v>英文</x:v>
      </x:c>
      <x:c r="F5" s="11" t="str">
        <x:v>text</x:v>
      </x:c>
      <x:c r="G5" s="11" t="n">
        <x:v>1</x:v>
      </x:c>
      <x:c r="H5" s="11" t="str">
        <x:v>beam-simple-6m</x:v>
      </x:c>
      <x:c r="I5" s="11" t="str">
        <x:v>G:/StructureClaw-All/structureclaw/tests/llm-benchmark/scenarios/standard_workflow/beam-static-6m.json</x:v>
      </x:c>
      <x:c r="J5" s="30" t="n">
        <x:f>COUNTIFS('300题规划'!$R$2:$R$301,A5)+COUNTIFS('300题规划'!$S$2:$S$301,A5)</x:f>
        <x:v>1</x:v>
      </x:c>
      <x:c r="K5" s="30" t="n">
        <x:f>COUNTIFS('300个模型'!$I$2:$I$301,A5)</x:f>
        <x:v>3</x:v>
      </x:c>
      <x:c r="L5" s="11" t="str">
        <x:v>题面/交互/素材来源；每题独立建模并按新契约重验真值</x:v>
      </x:c>
      <x:c r="M5" s="11" t="str">
        <x:v>无附件</x:v>
      </x:c>
      <x:c r="N5" s="11" t="str">
        <x:v>未指定</x:v>
      </x:c>
    </x:row>
    <x:row r="6" ht="52.5" customHeight="1">
      <x:c r="A6" s="33" t="str">
        <x:v>beam-static-with-report</x:v>
      </x:c>
      <x:c r="B6" s="6" t="str">
        <x:v>标准工作流</x:v>
      </x:c>
      <x:c r="C6" s="6" t="str">
        <x:v>简支梁分析+生成报告</x:v>
      </x:c>
      <x:c r="D6" s="6" t="str">
        <x:v>L1</x:v>
      </x:c>
      <x:c r="E6" s="6" t="str">
        <x:v>中文</x:v>
      </x:c>
      <x:c r="F6" s="6" t="str">
        <x:v>text</x:v>
      </x:c>
      <x:c r="G6" s="6" t="n">
        <x:v>1</x:v>
      </x:c>
      <x:c r="H6" s="6" t="str">
        <x:v>beam-simple-8m-udl18</x:v>
      </x:c>
      <x:c r="I6" s="6" t="str">
        <x:v>G:/StructureClaw-All/structureclaw/tests/llm-benchmark/scenarios/standard_workflow/beam-static-with-report.json</x:v>
      </x:c>
      <x:c r="J6" s="30" t="n">
        <x:f>COUNTIFS('300题规划'!$R$2:$R$301,A6)+COUNTIFS('300题规划'!$S$2:$S$301,A6)</x:f>
        <x:v>1</x:v>
      </x:c>
      <x:c r="K6" s="30" t="n">
        <x:f>COUNTIFS('300个模型'!$I$2:$I$301,A6)</x:f>
        <x:v>3</x:v>
      </x:c>
      <x:c r="L6" s="6" t="str">
        <x:v>题面/交互/素材来源；每题独立建模并按新契约重验真值</x:v>
      </x:c>
      <x:c r="M6" s="6" t="str">
        <x:v>无附件</x:v>
      </x:c>
      <x:c r="N6" s="6" t="str">
        <x:v>未指定</x:v>
      </x:c>
    </x:row>
    <x:row r="7" ht="52.5" customHeight="1">
      <x:c r="A7" s="32" t="str">
        <x:v>concrete-frame-2story-static</x:v>
      </x:c>
      <x:c r="B7" s="11" t="str">
        <x:v>标准工作流</x:v>
      </x:c>
      <x:c r="C7" s="11" t="str">
        <x:v>2层混凝土框架静力分析</x:v>
      </x:c>
      <x:c r="D7" s="11" t="str">
        <x:v>L2</x:v>
      </x:c>
      <x:c r="E7" s="11" t="str">
        <x:v>中文</x:v>
      </x:c>
      <x:c r="F7" s="11" t="str">
        <x:v>text</x:v>
      </x:c>
      <x:c r="G7" s="11" t="n">
        <x:v>1</x:v>
      </x:c>
      <x:c r="H7" s="11" t="str">
        <x:v>concrete-frame-2s1b-6m-12k</x:v>
      </x:c>
      <x:c r="I7" s="11" t="str">
        <x:v>G:/StructureClaw-All/structureclaw/tests/llm-benchmark/scenarios/standard_workflow/concrete-frame-2story-static.json</x:v>
      </x:c>
      <x:c r="J7" s="30" t="n">
        <x:f>COUNTIFS('300题规划'!$R$2:$R$301,A7)+COUNTIFS('300题规划'!$S$2:$S$301,A7)</x:f>
        <x:v>1</x:v>
      </x:c>
      <x:c r="K7" s="30" t="n">
        <x:f>COUNTIFS('300个模型'!$I$2:$I$301,A7)</x:f>
        <x:v>3</x:v>
      </x:c>
      <x:c r="L7" s="11" t="str">
        <x:v>题面/交互/素材来源；每题独立建模并按新契约重验真值</x:v>
      </x:c>
      <x:c r="M7" s="11" t="str">
        <x:v>无附件</x:v>
      </x:c>
      <x:c r="N7" s="11" t="str">
        <x:v>OpenSees</x:v>
      </x:c>
    </x:row>
    <x:row r="8" ht="52.5" customHeight="1">
      <x:c r="A8" s="33" t="str">
        <x:v>concrete-frame-3d-2story-static</x:v>
      </x:c>
      <x:c r="B8" s="6" t="str">
        <x:v>标准工作流</x:v>
      </x:c>
      <x:c r="C8" s="6" t="str">
        <x:v>2层3D混凝土框架静力分析</x:v>
      </x:c>
      <x:c r="D8" s="6" t="str">
        <x:v>L2</x:v>
      </x:c>
      <x:c r="E8" s="6" t="str">
        <x:v>中文</x:v>
      </x:c>
      <x:c r="F8" s="6" t="str">
        <x:v>text</x:v>
      </x:c>
      <x:c r="G8" s="6" t="n">
        <x:v>1</x:v>
      </x:c>
      <x:c r="H8" s="6" t="str">
        <x:v>frame3d-concrete-2s-2x1y-12k</x:v>
      </x:c>
      <x:c r="I8" s="6" t="str">
        <x:v>G:/StructureClaw-All/structureclaw/tests/llm-benchmark/scenarios/standard_workflow/concrete-frame-3d-2story-static.json</x:v>
      </x:c>
      <x:c r="J8" s="30" t="n">
        <x:f>COUNTIFS('300题规划'!$R$2:$R$301,A8)+COUNTIFS('300题规划'!$S$2:$S$301,A8)</x:f>
        <x:v>1</x:v>
      </x:c>
      <x:c r="K8" s="30" t="n">
        <x:f>COUNTIFS('300个模型'!$I$2:$I$301,A8)</x:f>
        <x:v>3</x:v>
      </x:c>
      <x:c r="L8" s="6" t="str">
        <x:v>题面/交互/素材来源；每题独立建模并按新契约重验真值</x:v>
      </x:c>
      <x:c r="M8" s="6" t="str">
        <x:v>无附件</x:v>
      </x:c>
      <x:c r="N8" s="6" t="str">
        <x:v>PKPM</x:v>
      </x:c>
    </x:row>
    <x:row r="9" ht="52.5" customHeight="1">
      <x:c r="A9" s="32" t="str">
        <x:v>concrete-frame-3d-yjk-report-en</x:v>
      </x:c>
      <x:c r="B9" s="11" t="str">
        <x:v>标准工作流</x:v>
      </x:c>
      <x:c r="C9" s="11" t="str">
        <x:v>3D concrete frame analysis and report with YJK</x:v>
      </x:c>
      <x:c r="D9" s="11" t="str">
        <x:v>L2</x:v>
      </x:c>
      <x:c r="E9" s="11" t="str">
        <x:v>英文</x:v>
      </x:c>
      <x:c r="F9" s="11" t="str">
        <x:v>text</x:v>
      </x:c>
      <x:c r="G9" s="11" t="n">
        <x:v>1</x:v>
      </x:c>
      <x:c r="H9" s="11" t="str">
        <x:v>frame3d-concrete-2s-2x1y-12k</x:v>
      </x:c>
      <x:c r="I9" s="11" t="str">
        <x:v>G:/StructureClaw-All/structureclaw/tests/llm-benchmark/scenarios/standard_workflow/concrete-frame-3d-yjk-report-en.json</x:v>
      </x:c>
      <x:c r="J9" s="30" t="n">
        <x:f>COUNTIFS('300题规划'!$R$2:$R$301,A9)+COUNTIFS('300题规划'!$S$2:$S$301,A9)</x:f>
        <x:v>0</x:v>
      </x:c>
      <x:c r="K9" s="30" t="n">
        <x:f>COUNTIFS('300个模型'!$I$2:$I$301,A9)</x:f>
        <x:v>0</x:v>
      </x:c>
      <x:c r="L9" s="11" t="str">
        <x:v>保留商业软件任务来源；按建筑场景挑选，不默认改用 OpenSees；标答按新模型和软件重验</x:v>
      </x:c>
      <x:c r="M9" s="11" t="str">
        <x:v>无附件</x:v>
      </x:c>
      <x:c r="N9" s="11" t="str">
        <x:v>YJK</x:v>
      </x:c>
    </x:row>
    <x:row r="10" ht="52.5" customHeight="1">
      <x:c r="A10" s="33" t="str">
        <x:v>concrete-frame-3story-opensees-static-en</x:v>
      </x:c>
      <x:c r="B10" s="6" t="str">
        <x:v>标准工作流</x:v>
      </x:c>
      <x:c r="C10" s="6" t="str">
        <x:v>3-story concrete frame OpenSees static analysis</x:v>
      </x:c>
      <x:c r="D10" s="6" t="str">
        <x:v>L2</x:v>
      </x:c>
      <x:c r="E10" s="6" t="str">
        <x:v>英文</x:v>
      </x:c>
      <x:c r="F10" s="6" t="str">
        <x:v>text</x:v>
      </x:c>
      <x:c r="G10" s="6" t="n">
        <x:v>1</x:v>
      </x:c>
      <x:c r="H10" s="6" t="str">
        <x:v>concrete-frame-3s1b-6m-10k</x:v>
      </x:c>
      <x:c r="I10" s="6" t="str">
        <x:v>G:/StructureClaw-All/structureclaw/tests/llm-benchmark/scenarios/standard_workflow/concrete-frame-3story-opensees-static-en.json</x:v>
      </x:c>
      <x:c r="J10" s="30" t="n">
        <x:f>COUNTIFS('300题规划'!$R$2:$R$301,A10)+COUNTIFS('300题规划'!$S$2:$S$301,A10)</x:f>
        <x:v>1</x:v>
      </x:c>
      <x:c r="K10" s="30" t="n">
        <x:f>COUNTIFS('300个模型'!$I$2:$I$301,A10)</x:f>
        <x:v>3</x:v>
      </x:c>
      <x:c r="L10" s="6" t="str">
        <x:v>题面/交互/素材来源；每题独立建模并按新契约重验真值</x:v>
      </x:c>
      <x:c r="M10" s="6" t="str">
        <x:v>无附件</x:v>
      </x:c>
      <x:c r="N10" s="6" t="str">
        <x:v>OpenSees</x:v>
      </x:c>
    </x:row>
    <x:row r="11" ht="52.5" customHeight="1">
      <x:c r="A11" s="32" t="str">
        <x:v>double-span-beam-static</x:v>
      </x:c>
      <x:c r="B11" s="11" t="str">
        <x:v>标准工作流</x:v>
      </x:c>
      <x:c r="C11" s="11" t="str">
        <x:v>Two-span continuous beam static analysis</x:v>
      </x:c>
      <x:c r="D11" s="11" t="str">
        <x:v>L1</x:v>
      </x:c>
      <x:c r="E11" s="11" t="str">
        <x:v>英文</x:v>
      </x:c>
      <x:c r="F11" s="11" t="str">
        <x:v>text</x:v>
      </x:c>
      <x:c r="G11" s="11" t="n">
        <x:v>1</x:v>
      </x:c>
      <x:c r="H11" s="11" t="str">
        <x:v>dspan-simple-5-6</x:v>
      </x:c>
      <x:c r="I11" s="11" t="str">
        <x:v>G:/StructureClaw-All/structureclaw/tests/llm-benchmark/scenarios/standard_workflow/double-span-beam-static.json</x:v>
      </x:c>
      <x:c r="J11" s="30" t="n">
        <x:f>COUNTIFS('300题规划'!$R$2:$R$301,A11)+COUNTIFS('300题规划'!$S$2:$S$301,A11)</x:f>
        <x:v>1</x:v>
      </x:c>
      <x:c r="K11" s="30" t="n">
        <x:f>COUNTIFS('300个模型'!$I$2:$I$301,A11)</x:f>
        <x:v>3</x:v>
      </x:c>
      <x:c r="L11" s="11" t="str">
        <x:v>题面/交互/素材来源；每题独立建模并按新契约重验真值</x:v>
      </x:c>
      <x:c r="M11" s="11" t="str">
        <x:v>无附件</x:v>
      </x:c>
      <x:c r="N11" s="11" t="str">
        <x:v>未指定</x:v>
      </x:c>
    </x:row>
    <x:row r="12" ht="52.5" customHeight="1">
      <x:c r="A12" s="33" t="str">
        <x:v>double-span-beam-unequal</x:v>
      </x:c>
      <x:c r="B12" s="6" t="str">
        <x:v>标准工作流</x:v>
      </x:c>
      <x:c r="C12" s="6" t="str">
        <x:v>不等跨连续梁+集中力静力分析</x:v>
      </x:c>
      <x:c r="D12" s="6" t="str">
        <x:v>L1</x:v>
      </x:c>
      <x:c r="E12" s="6" t="str">
        <x:v>中文</x:v>
      </x:c>
      <x:c r="F12" s="6" t="str">
        <x:v>text</x:v>
      </x:c>
      <x:c r="G12" s="6" t="n">
        <x:v>1</x:v>
      </x:c>
      <x:c r="H12" s="6" t="str">
        <x:v>dspan-unequal-4-7-udl10-point30</x:v>
      </x:c>
      <x:c r="I12" s="6" t="str">
        <x:v>G:/StructureClaw-All/structureclaw/tests/llm-benchmark/scenarios/standard_workflow/double-span-beam-unequal.json</x:v>
      </x:c>
      <x:c r="J12" s="30" t="n">
        <x:f>COUNTIFS('300题规划'!$R$2:$R$301,A12)+COUNTIFS('300题规划'!$S$2:$S$301,A12)</x:f>
        <x:v>1</x:v>
      </x:c>
      <x:c r="K12" s="30" t="n">
        <x:f>COUNTIFS('300个模型'!$I$2:$I$301,A12)</x:f>
        <x:v>3</x:v>
      </x:c>
      <x:c r="L12" s="6" t="str">
        <x:v>题面/交互/素材来源；每题独立建模并按新契约重验真值</x:v>
      </x:c>
      <x:c r="M12" s="6" t="str">
        <x:v>无附件</x:v>
      </x:c>
      <x:c r="N12" s="6" t="str">
        <x:v>未指定</x:v>
      </x:c>
    </x:row>
    <x:row r="13" ht="52.5" customHeight="1">
      <x:c r="A13" s="32" t="str">
        <x:v>frame-2story-1bay-static</x:v>
      </x:c>
      <x:c r="B13" s="11" t="str">
        <x:v>标准工作流</x:v>
      </x:c>
      <x:c r="C13" s="11" t="str">
        <x:v>2-story single-bay steel frame static analysis</x:v>
      </x:c>
      <x:c r="D13" s="11" t="str">
        <x:v>L2</x:v>
      </x:c>
      <x:c r="E13" s="11" t="str">
        <x:v>英文</x:v>
      </x:c>
      <x:c r="F13" s="11" t="str">
        <x:v>text</x:v>
      </x:c>
      <x:c r="G13" s="11" t="n">
        <x:v>1</x:v>
      </x:c>
      <x:c r="H13" s="11" t="str">
        <x:v>frame-2s1b-6m-10k</x:v>
      </x:c>
      <x:c r="I13" s="11" t="str">
        <x:v>G:/StructureClaw-All/structureclaw/tests/llm-benchmark/scenarios/standard_workflow/frame-2story-1bay-static.json</x:v>
      </x:c>
      <x:c r="J13" s="30" t="n">
        <x:f>COUNTIFS('300题规划'!$R$2:$R$301,A13)+COUNTIFS('300题规划'!$S$2:$S$301,A13)</x:f>
        <x:v>1</x:v>
      </x:c>
      <x:c r="K13" s="30" t="n">
        <x:f>COUNTIFS('300个模型'!$I$2:$I$301,A13)</x:f>
        <x:v>3</x:v>
      </x:c>
      <x:c r="L13" s="11" t="str">
        <x:v>题面/交互/素材来源；每题独立建模并按新契约重验真值</x:v>
      </x:c>
      <x:c r="M13" s="11" t="str">
        <x:v>无附件</x:v>
      </x:c>
      <x:c r="N13" s="11" t="str">
        <x:v>OpenSees</x:v>
      </x:c>
    </x:row>
    <x:row r="14" ht="52.5" customHeight="1">
      <x:c r="A14" s="33" t="str">
        <x:v>frame-3d-2story-2bayx-1bayy</x:v>
      </x:c>
      <x:c r="B14" s="6" t="str">
        <x:v>标准工作流</x:v>
      </x:c>
      <x:c r="C14" s="6" t="str">
        <x:v>2-story 3D steel frame static analysis</x:v>
      </x:c>
      <x:c r="D14" s="6" t="str">
        <x:v>L2</x:v>
      </x:c>
      <x:c r="E14" s="6" t="str">
        <x:v>英文</x:v>
      </x:c>
      <x:c r="F14" s="6" t="str">
        <x:v>text</x:v>
      </x:c>
      <x:c r="G14" s="6" t="n">
        <x:v>1</x:v>
      </x:c>
      <x:c r="H14" s="6" t="str">
        <x:v>frame3d-steel-2s-2x1y-8k</x:v>
      </x:c>
      <x:c r="I14" s="6" t="str">
        <x:v>G:/StructureClaw-All/structureclaw/tests/llm-benchmark/scenarios/standard_workflow/frame-3d-2story-2bayx-1bayy.json</x:v>
      </x:c>
      <x:c r="J14" s="30" t="n">
        <x:f>COUNTIFS('300题规划'!$R$2:$R$301,A14)+COUNTIFS('300题规划'!$S$2:$S$301,A14)</x:f>
        <x:v>1</x:v>
      </x:c>
      <x:c r="K14" s="30" t="n">
        <x:f>COUNTIFS('300个模型'!$I$2:$I$301,A14)</x:f>
        <x:v>3</x:v>
      </x:c>
      <x:c r="L14" s="6" t="str">
        <x:v>题面/交互/素材来源；每题独立建模并按新契约重验真值</x:v>
      </x:c>
      <x:c r="M14" s="6" t="str">
        <x:v>无附件</x:v>
      </x:c>
      <x:c r="N14" s="6" t="str">
        <x:v>PKPM</x:v>
      </x:c>
    </x:row>
    <x:row r="15" ht="52.5" customHeight="1">
      <x:c r="A15" s="32" t="str">
        <x:v>frame-3d-3story-1bayx-2bayy-en</x:v>
      </x:c>
      <x:c r="B15" s="11" t="str">
        <x:v>标准工作流</x:v>
      </x:c>
      <x:c r="C15" s="11" t="str">
        <x:v>3-story 3D steel frame with X-bay and Y-bays</x:v>
      </x:c>
      <x:c r="D15" s="11" t="str">
        <x:v>L2</x:v>
      </x:c>
      <x:c r="E15" s="11" t="str">
        <x:v>英文</x:v>
      </x:c>
      <x:c r="F15" s="11" t="str">
        <x:v>text</x:v>
      </x:c>
      <x:c r="G15" s="11" t="n">
        <x:v>1</x:v>
      </x:c>
      <x:c r="H15" s="11" t="str">
        <x:v>frame3d-steel-3s-1x2y-10k</x:v>
      </x:c>
      <x:c r="I15" s="11" t="str">
        <x:v>G:/StructureClaw-All/structureclaw/tests/llm-benchmark/scenarios/standard_workflow/frame-3d-3story-1bayx-2bayy-en.json</x:v>
      </x:c>
      <x:c r="J15" s="30" t="n">
        <x:f>COUNTIFS('300题规划'!$R$2:$R$301,A15)+COUNTIFS('300题规划'!$S$2:$S$301,A15)</x:f>
        <x:v>1</x:v>
      </x:c>
      <x:c r="K15" s="30" t="n">
        <x:f>COUNTIFS('300个模型'!$I$2:$I$301,A15)</x:f>
        <x:v>3</x:v>
      </x:c>
      <x:c r="L15" s="11" t="str">
        <x:v>题面/交互/素材来源；每题独立建模并按新契约重验真值</x:v>
      </x:c>
      <x:c r="M15" s="11" t="str">
        <x:v>无附件</x:v>
      </x:c>
      <x:c r="N15" s="11" t="str">
        <x:v>YJK</x:v>
      </x:c>
    </x:row>
    <x:row r="16" ht="52.5" customHeight="1">
      <x:c r="A16" s="33" t="str">
        <x:v>frame-industrial-heavy</x:v>
      </x:c>
      <x:c r="B16" s="6" t="str">
        <x:v>标准工作流</x:v>
      </x:c>
      <x:c r="C16" s="6" t="str">
        <x:v>单层工业重型厂房框架静力分析</x:v>
      </x:c>
      <x:c r="D16" s="6" t="str">
        <x:v>L1</x:v>
      </x:c>
      <x:c r="E16" s="6" t="str">
        <x:v>中文</x:v>
      </x:c>
      <x:c r="F16" s="6" t="str">
        <x:v>text</x:v>
      </x:c>
      <x:c r="G16" s="6" t="n">
        <x:v>1</x:v>
      </x:c>
      <x:c r="H16" s="6" t="str">
        <x:v>frame-industrial-24m-12m-crane10t</x:v>
      </x:c>
      <x:c r="I16" s="6" t="str">
        <x:v>G:/StructureClaw-All/structureclaw/tests/llm-benchmark/scenarios/standard_workflow/frame-industrial-heavy.json</x:v>
      </x:c>
      <x:c r="J16" s="30" t="n">
        <x:f>COUNTIFS('300题规划'!$R$2:$R$301,A16)+COUNTIFS('300题规划'!$S$2:$S$301,A16)</x:f>
        <x:v>1</x:v>
      </x:c>
      <x:c r="K16" s="30" t="n">
        <x:f>COUNTIFS('300个模型'!$I$2:$I$301,A16)</x:f>
        <x:v>3</x:v>
      </x:c>
      <x:c r="L16" s="6" t="str">
        <x:v>题面/交互/素材来源；每题独立建模并按新契约重验真值</x:v>
      </x:c>
      <x:c r="M16" s="6" t="str">
        <x:v>无附件</x:v>
      </x:c>
      <x:c r="N16" s="6" t="str">
        <x:v>OpenSees</x:v>
      </x:c>
    </x:row>
    <x:row r="17" ht="52.5" customHeight="1">
      <x:c r="A17" s="32" t="str">
        <x:v>frame3d-simple-yjk-static-en</x:v>
      </x:c>
      <x:c r="B17" s="11" t="str">
        <x:v>标准工作流</x:v>
      </x:c>
      <x:c r="C17" s="11" t="str">
        <x:v>Simple 2-story spatial steel frame analysis with YJK</x:v>
      </x:c>
      <x:c r="D17" s="11" t="str">
        <x:v>L2</x:v>
      </x:c>
      <x:c r="E17" s="11" t="str">
        <x:v>英文</x:v>
      </x:c>
      <x:c r="F17" s="11" t="str">
        <x:v>text</x:v>
      </x:c>
      <x:c r="G17" s="11" t="n">
        <x:v>1</x:v>
      </x:c>
      <x:c r="H17" s="11" t="str">
        <x:v>frame3d-simple</x:v>
      </x:c>
      <x:c r="I17" s="11" t="str">
        <x:v>G:/StructureClaw-All/structureclaw/tests/llm-benchmark/scenarios/standard_workflow/frame3d-simple-yjk-static-en.json</x:v>
      </x:c>
      <x:c r="J17" s="30" t="n">
        <x:f>COUNTIFS('300题规划'!$R$2:$R$301,A17)+COUNTIFS('300题规划'!$S$2:$S$301,A17)</x:f>
        <x:v>0</x:v>
      </x:c>
      <x:c r="K17" s="30" t="n">
        <x:f>COUNTIFS('300个模型'!$I$2:$I$301,A17)</x:f>
        <x:v>0</x:v>
      </x:c>
      <x:c r="L17" s="11" t="str">
        <x:v>保留商业软件任务来源；按建筑场景挑选，不默认改用 OpenSees；标答按新模型和软件重验</x:v>
      </x:c>
      <x:c r="M17" s="11" t="str">
        <x:v>无附件</x:v>
      </x:c>
      <x:c r="N17" s="11" t="str">
        <x:v>YJK</x:v>
      </x:c>
    </x:row>
    <x:row r="18" ht="52.5" customHeight="1">
      <x:c r="A18" s="33" t="str">
        <x:v>frame3d-steel-2story-yjk-static-zh</x:v>
      </x:c>
      <x:c r="B18" s="6" t="str">
        <x:v>标准工作流</x:v>
      </x:c>
      <x:c r="C18" s="6" t="str">
        <x:v>YJK两层空间钢框架静力分析</x:v>
      </x:c>
      <x:c r="D18" s="6" t="str">
        <x:v>L2</x:v>
      </x:c>
      <x:c r="E18" s="6" t="str">
        <x:v>中文</x:v>
      </x:c>
      <x:c r="F18" s="6" t="str">
        <x:v>text</x:v>
      </x:c>
      <x:c r="G18" s="6" t="n">
        <x:v>1</x:v>
      </x:c>
      <x:c r="H18" s="6" t="str">
        <x:v>frame3d-steel-2s-2x1y-8k</x:v>
      </x:c>
      <x:c r="I18" s="6" t="str">
        <x:v>G:/StructureClaw-All/structureclaw/tests/llm-benchmark/scenarios/standard_workflow/frame3d-steel-2story-yjk-static-zh.json</x:v>
      </x:c>
      <x:c r="J18" s="30" t="n">
        <x:f>COUNTIFS('300题规划'!$R$2:$R$301,A18)+COUNTIFS('300题规划'!$S$2:$S$301,A18)</x:f>
        <x:v>0</x:v>
      </x:c>
      <x:c r="K18" s="30" t="n">
        <x:f>COUNTIFS('300个模型'!$I$2:$I$301,A18)</x:f>
        <x:v>0</x:v>
      </x:c>
      <x:c r="L18" s="6" t="str">
        <x:v>保留商业软件任务来源；按建筑场景挑选，不默认改用 OpenSees；标答按新模型和软件重验</x:v>
      </x:c>
      <x:c r="M18" s="6" t="str">
        <x:v>无附件</x:v>
      </x:c>
      <x:c r="N18" s="6" t="str">
        <x:v>YJK</x:v>
      </x:c>
    </x:row>
    <x:row r="19" ht="52.5" customHeight="1">
      <x:c r="A19" s="32" t="str">
        <x:v>frame3d-steel-3story-pkpm-static-zh</x:v>
      </x:c>
      <x:c r="B19" s="11" t="str">
        <x:v>标准工作流</x:v>
      </x:c>
      <x:c r="C19" s="11" t="str">
        <x:v>PKPM三层空间钢框架静力分析</x:v>
      </x:c>
      <x:c r="D19" s="11" t="str">
        <x:v>L2</x:v>
      </x:c>
      <x:c r="E19" s="11" t="str">
        <x:v>中文</x:v>
      </x:c>
      <x:c r="F19" s="11" t="str">
        <x:v>text</x:v>
      </x:c>
      <x:c r="G19" s="11" t="n">
        <x:v>1</x:v>
      </x:c>
      <x:c r="H19" s="11" t="str">
        <x:v>frame3d-steel-3s-1x2y-10k</x:v>
      </x:c>
      <x:c r="I19" s="11" t="str">
        <x:v>G:/StructureClaw-All/structureclaw/tests/llm-benchmark/scenarios/standard_workflow/frame3d-steel-3story-pkpm-static-zh.json</x:v>
      </x:c>
      <x:c r="J19" s="30" t="n">
        <x:f>COUNTIFS('300题规划'!$R$2:$R$301,A19)+COUNTIFS('300题规划'!$S$2:$S$301,A19)</x:f>
        <x:v>0</x:v>
      </x:c>
      <x:c r="K19" s="30" t="n">
        <x:f>COUNTIFS('300个模型'!$I$2:$I$301,A19)</x:f>
        <x:v>0</x:v>
      </x:c>
      <x:c r="L19" s="11" t="str">
        <x:v>保留商业软件任务来源；按建筑场景挑选，不默认改用 OpenSees；标答按新模型和软件重验</x:v>
      </x:c>
      <x:c r="M19" s="11" t="str">
        <x:v>无附件</x:v>
      </x:c>
      <x:c r="N19" s="11" t="str">
        <x:v>PKPM</x:v>
      </x:c>
    </x:row>
    <x:row r="20" ht="52.5" customHeight="1">
      <x:c r="A20" s="33" t="str">
        <x:v>independent-column-static</x:v>
      </x:c>
      <x:c r="B20" s="6" t="str">
        <x:v>标准工作流</x:v>
      </x:c>
      <x:c r="C20" s="6" t="str">
        <x:v>独立混凝土柱静力分析</x:v>
      </x:c>
      <x:c r="D20" s="6" t="str">
        <x:v>L1</x:v>
      </x:c>
      <x:c r="E20" s="6" t="str">
        <x:v>中文</x:v>
      </x:c>
      <x:c r="F20" s="6" t="str">
        <x:v>text</x:v>
      </x:c>
      <x:c r="G20" s="6" t="n">
        <x:v>1</x:v>
      </x:c>
      <x:c r="H20" s="6" t="str">
        <x:v>column-concrete-4p5-500</x:v>
      </x:c>
      <x:c r="I20" s="6" t="str">
        <x:v>G:/StructureClaw-All/structureclaw/tests/llm-benchmark/scenarios/standard_workflow/independent-column-static.json</x:v>
      </x:c>
      <x:c r="J20" s="30" t="n">
        <x:f>COUNTIFS('300题规划'!$R$2:$R$301,A20)+COUNTIFS('300题规划'!$S$2:$S$301,A20)</x:f>
        <x:v>1</x:v>
      </x:c>
      <x:c r="K20" s="30" t="n">
        <x:f>COUNTIFS('300个模型'!$I$2:$I$301,A20)</x:f>
        <x:v>3</x:v>
      </x:c>
      <x:c r="L20" s="6" t="str">
        <x:v>题面/交互/素材来源；每题独立建模并按新契约重验真值</x:v>
      </x:c>
      <x:c r="M20" s="6" t="str">
        <x:v>无附件</x:v>
      </x:c>
      <x:c r="N20" s="6" t="str">
        <x:v>未指定</x:v>
      </x:c>
    </x:row>
    <x:row r="21" ht="52.5" customHeight="1">
      <x:c r="A21" s="32" t="str">
        <x:v>portal-frame-double-span-crane-static</x:v>
      </x:c>
      <x:c r="B21" s="11" t="str">
        <x:v>标准工作流</x:v>
      </x:c>
      <x:c r="C21" s="11" t="str">
        <x:v>双跨门式刚架带吊车静力分析</x:v>
      </x:c>
      <x:c r="D21" s="11" t="str">
        <x:v>L2</x:v>
      </x:c>
      <x:c r="E21" s="11" t="str">
        <x:v>中文</x:v>
      </x:c>
      <x:c r="F21" s="11" t="str">
        <x:v>text</x:v>
      </x:c>
      <x:c r="G21" s="11" t="n">
        <x:v>1</x:v>
      </x:c>
      <x:c r="H21" s="11" t="str">
        <x:v>portal-double-36m-9m-crane5t</x:v>
      </x:c>
      <x:c r="I21" s="11" t="str">
        <x:v>G:/StructureClaw-All/structureclaw/tests/llm-benchmark/scenarios/standard_workflow/portal-frame-double-span-crane-static.json</x:v>
      </x:c>
      <x:c r="J21" s="30" t="n">
        <x:f>COUNTIFS('300题规划'!$R$2:$R$301,A21)+COUNTIFS('300题规划'!$S$2:$S$301,A21)</x:f>
        <x:v>1</x:v>
      </x:c>
      <x:c r="K21" s="30" t="n">
        <x:f>COUNTIFS('300个模型'!$I$2:$I$301,A21)</x:f>
        <x:v>3</x:v>
      </x:c>
      <x:c r="L21" s="11" t="str">
        <x:v>题面/交互/素材来源；每题独立建模并按新契约重验真值</x:v>
      </x:c>
      <x:c r="M21" s="11" t="str">
        <x:v>无附件</x:v>
      </x:c>
      <x:c r="N21" s="11" t="str">
        <x:v>未指定</x:v>
      </x:c>
    </x:row>
    <x:row r="22" ht="52.5" customHeight="1">
      <x:c r="A22" s="33" t="str">
        <x:v>portal-frame-static-18m</x:v>
      </x:c>
      <x:c r="B22" s="6" t="str">
        <x:v>标准工作流</x:v>
      </x:c>
      <x:c r="C22" s="6" t="str">
        <x:v>18m portal frame static analysis</x:v>
      </x:c>
      <x:c r="D22" s="6" t="str">
        <x:v>L2</x:v>
      </x:c>
      <x:c r="E22" s="6" t="str">
        <x:v>英文</x:v>
      </x:c>
      <x:c r="F22" s="6" t="str">
        <x:v>text</x:v>
      </x:c>
      <x:c r="G22" s="6" t="n">
        <x:v>1</x:v>
      </x:c>
      <x:c r="H22" s="6" t="str">
        <x:v>portal-simple-18m</x:v>
      </x:c>
      <x:c r="I22" s="6" t="str">
        <x:v>G:/StructureClaw-All/structureclaw/tests/llm-benchmark/scenarios/standard_workflow/portal-frame-static-18m.json</x:v>
      </x:c>
      <x:c r="J22" s="30" t="n">
        <x:f>COUNTIFS('300题规划'!$R$2:$R$301,A22)+COUNTIFS('300题规划'!$S$2:$S$301,A22)</x:f>
        <x:v>1</x:v>
      </x:c>
      <x:c r="K22" s="30" t="n">
        <x:f>COUNTIFS('300个模型'!$I$2:$I$301,A22)</x:f>
        <x:v>3</x:v>
      </x:c>
      <x:c r="L22" s="6" t="str">
        <x:v>题面/交互/素材来源；每题独立建模并按新契约重验真值</x:v>
      </x:c>
      <x:c r="M22" s="6" t="str">
        <x:v>无附件</x:v>
      </x:c>
      <x:c r="N22" s="6" t="str">
        <x:v>未指定</x:v>
      </x:c>
    </x:row>
    <x:row r="23" ht="52.5" customHeight="1">
      <x:c r="A23" s="32" t="str">
        <x:v>portal-frame-static-en</x:v>
      </x:c>
      <x:c r="B23" s="11" t="str">
        <x:v>标准工作流</x:v>
      </x:c>
      <x:c r="C23" s="11" t="str">
        <x:v>Portal frame 21m span static analysis</x:v>
      </x:c>
      <x:c r="D23" s="11" t="str">
        <x:v>L2</x:v>
      </x:c>
      <x:c r="E23" s="11" t="str">
        <x:v>英文</x:v>
      </x:c>
      <x:c r="F23" s="11" t="str">
        <x:v>text</x:v>
      </x:c>
      <x:c r="G23" s="11" t="n">
        <x:v>1</x:v>
      </x:c>
      <x:c r="H23" s="11" t="str">
        <x:v>portal-simple-21m-7p5-8k</x:v>
      </x:c>
      <x:c r="I23" s="11" t="str">
        <x:v>G:/StructureClaw-All/structureclaw/tests/llm-benchmark/scenarios/standard_workflow/portal-frame-static-en.json</x:v>
      </x:c>
      <x:c r="J23" s="30" t="n">
        <x:f>COUNTIFS('300题规划'!$R$2:$R$301,A23)+COUNTIFS('300题规划'!$S$2:$S$301,A23)</x:f>
        <x:v>1</x:v>
      </x:c>
      <x:c r="K23" s="30" t="n">
        <x:f>COUNTIFS('300个模型'!$I$2:$I$301,A23)</x:f>
        <x:v>3</x:v>
      </x:c>
      <x:c r="L23" s="11" t="str">
        <x:v>题面/交互/素材来源；每题独立建模并按新契约重验真值</x:v>
      </x:c>
      <x:c r="M23" s="11" t="str">
        <x:v>无附件</x:v>
      </x:c>
      <x:c r="N23" s="11" t="str">
        <x:v>未指定</x:v>
      </x:c>
    </x:row>
    <x:row r="24" ht="52.5" customHeight="1">
      <x:c r="A24" s="33" t="str">
        <x:v>portal-frame-with-mezzanine</x:v>
      </x:c>
      <x:c r="B24" s="6" t="str">
        <x:v>标准工作流</x:v>
      </x:c>
      <x:c r="C24" s="6" t="str">
        <x:v>带夹层门式刚架静力分析</x:v>
      </x:c>
      <x:c r="D24" s="6" t="str">
        <x:v>L2</x:v>
      </x:c>
      <x:c r="E24" s="6" t="str">
        <x:v>中文</x:v>
      </x:c>
      <x:c r="F24" s="6" t="str">
        <x:v>text</x:v>
      </x:c>
      <x:c r="G24" s="6" t="n">
        <x:v>1</x:v>
      </x:c>
      <x:c r="H24" s="6" t="str">
        <x:v>portal-mezzanine-18m-7m</x:v>
      </x:c>
      <x:c r="I24" s="6" t="str">
        <x:v>G:/StructureClaw-All/structureclaw/tests/llm-benchmark/scenarios/standard_workflow/portal-frame-with-mezzanine.json</x:v>
      </x:c>
      <x:c r="J24" s="30" t="n">
        <x:f>COUNTIFS('300题规划'!$R$2:$R$301,A24)+COUNTIFS('300题规划'!$S$2:$S$301,A24)</x:f>
        <x:v>1</x:v>
      </x:c>
      <x:c r="K24" s="30" t="n">
        <x:f>COUNTIFS('300个模型'!$I$2:$I$301,A24)</x:f>
        <x:v>3</x:v>
      </x:c>
      <x:c r="L24" s="6" t="str">
        <x:v>题面/交互/素材来源；每题独立建模并按新契约重验真值</x:v>
      </x:c>
      <x:c r="M24" s="6" t="str">
        <x:v>无附件</x:v>
      </x:c>
      <x:c r="N24" s="6" t="str">
        <x:v>未指定</x:v>
      </x:c>
    </x:row>
    <x:row r="25" ht="52.5" customHeight="1">
      <x:c r="A25" s="32" t="str">
        <x:v>std-beam-12m-combo-gt</x:v>
      </x:c>
      <x:c r="B25" s="11" t="str">
        <x:v>标准工作流</x:v>
      </x:c>
      <x:c r="C25" s="11" t="str">
        <x:v>Beam with UDL and point load ground-truth match</x:v>
      </x:c>
      <x:c r="D25" s="11" t="str">
        <x:v>L2</x:v>
      </x:c>
      <x:c r="E25" s="11" t="str">
        <x:v>英文</x:v>
      </x:c>
      <x:c r="F25" s="11" t="str">
        <x:v>text</x:v>
      </x:c>
      <x:c r="G25" s="11" t="n">
        <x:v>1</x:v>
      </x:c>
      <x:c r="H25" s="11" t="str">
        <x:v>beam-complex-12m</x:v>
      </x:c>
      <x:c r="I25" s="11" t="str">
        <x:v>G:/StructureClaw-All/structureclaw/tests/llm-benchmark/scenarios/standard_workflow/std-beam-12m-combo-gt.json</x:v>
      </x:c>
      <x:c r="J25" s="30" t="n">
        <x:f>COUNTIFS('300题规划'!$R$2:$R$301,A25)+COUNTIFS('300题规划'!$S$2:$S$301,A25)</x:f>
        <x:v>1</x:v>
      </x:c>
      <x:c r="K25" s="30" t="n">
        <x:f>COUNTIFS('300个模型'!$I$2:$I$301,A25)</x:f>
        <x:v>3</x:v>
      </x:c>
      <x:c r="L25" s="11" t="str">
        <x:v>题面/交互/素材来源；每题独立建模并按新契约重验真值</x:v>
      </x:c>
      <x:c r="M25" s="11" t="str">
        <x:v>无附件</x:v>
      </x:c>
      <x:c r="N25" s="11" t="str">
        <x:v>未指定</x:v>
      </x:c>
    </x:row>
    <x:row r="26" ht="52.5" customHeight="1">
      <x:c r="A26" s="33" t="str">
        <x:v>std-beam-4m-point-mid</x:v>
      </x:c>
      <x:c r="B26" s="6" t="str">
        <x:v>标准工作流</x:v>
      </x:c>
      <x:c r="C26" s="6" t="str">
        <x:v>简支梁4m跨中集中力分析</x:v>
      </x:c>
      <x:c r="D26" s="6" t="str">
        <x:v>L1</x:v>
      </x:c>
      <x:c r="E26" s="6" t="str">
        <x:v>中文</x:v>
      </x:c>
      <x:c r="F26" s="6" t="str">
        <x:v>text</x:v>
      </x:c>
      <x:c r="G26" s="6" t="n">
        <x:v>1</x:v>
      </x:c>
      <x:c r="H26" s="6" t="str">
        <x:v>beam-simple-4m-point25</x:v>
      </x:c>
      <x:c r="I26" s="6" t="str">
        <x:v>G:/StructureClaw-All/structureclaw/tests/llm-benchmark/scenarios/standard_workflow/std-beam-4m-point-mid.json</x:v>
      </x:c>
      <x:c r="J26" s="30" t="n">
        <x:f>COUNTIFS('300题规划'!$R$2:$R$301,A26)+COUNTIFS('300题规划'!$S$2:$S$301,A26)</x:f>
        <x:v>1</x:v>
      </x:c>
      <x:c r="K26" s="30" t="n">
        <x:f>COUNTIFS('300个模型'!$I$2:$I$301,A26)</x:f>
        <x:v>3</x:v>
      </x:c>
      <x:c r="L26" s="6" t="str">
        <x:v>题面/交互/素材来源；每题独立建模并按新契约重验真值</x:v>
      </x:c>
      <x:c r="M26" s="6" t="str">
        <x:v>无附件</x:v>
      </x:c>
      <x:c r="N26" s="6" t="str">
        <x:v>未指定</x:v>
      </x:c>
    </x:row>
    <x:row r="27" ht="52.5" customHeight="1">
      <x:c r="A27" s="32" t="str">
        <x:v>std-beam-6m-gt-repeat</x:v>
      </x:c>
      <x:c r="B27" s="11" t="str">
        <x:v>标准工作流</x:v>
      </x:c>
      <x:c r="C27" s="11" t="str">
        <x:v>简支梁6m标准真值匹配</x:v>
      </x:c>
      <x:c r="D27" s="11" t="str">
        <x:v>L1</x:v>
      </x:c>
      <x:c r="E27" s="11" t="str">
        <x:v>中文</x:v>
      </x:c>
      <x:c r="F27" s="11" t="str">
        <x:v>text</x:v>
      </x:c>
      <x:c r="G27" s="11" t="n">
        <x:v>1</x:v>
      </x:c>
      <x:c r="H27" s="11" t="str">
        <x:v>beam-simple-6m</x:v>
      </x:c>
      <x:c r="I27" s="11" t="str">
        <x:v>G:/StructureClaw-All/structureclaw/tests/llm-benchmark/scenarios/standard_workflow/std-beam-6m-gt-repeat.json</x:v>
      </x:c>
      <x:c r="J27" s="30" t="n">
        <x:f>COUNTIFS('300题规划'!$R$2:$R$301,A27)+COUNTIFS('300题规划'!$S$2:$S$301,A27)</x:f>
        <x:v>1</x:v>
      </x:c>
      <x:c r="K27" s="30" t="n">
        <x:f>COUNTIFS('300个模型'!$I$2:$I$301,A27)</x:f>
        <x:v>0</x:v>
      </x:c>
      <x:c r="L27" s="11" t="str">
        <x:v>题面/交互/素材来源；每题独立建模并按新契约重验真值</x:v>
      </x:c>
      <x:c r="M27" s="11" t="str">
        <x:v>无附件</x:v>
      </x:c>
      <x:c r="N27" s="11" t="str">
        <x:v>未指定</x:v>
      </x:c>
    </x:row>
    <x:row r="28" ht="52.5" customHeight="1">
      <x:c r="A28" s="33" t="str">
        <x:v>std-beam-report-en</x:v>
      </x:c>
      <x:c r="B28" s="6" t="str">
        <x:v>标准工作流</x:v>
      </x:c>
      <x:c r="C28" s="6" t="str">
        <x:v>Beam analysis with report in English</x:v>
      </x:c>
      <x:c r="D28" s="6" t="str">
        <x:v>L1</x:v>
      </x:c>
      <x:c r="E28" s="6" t="str">
        <x:v>英文</x:v>
      </x:c>
      <x:c r="F28" s="6" t="str">
        <x:v>text</x:v>
      </x:c>
      <x:c r="G28" s="6" t="n">
        <x:v>1</x:v>
      </x:c>
      <x:c r="H28" s="6" t="str">
        <x:v>beam-simple-7p5m-udl18</x:v>
      </x:c>
      <x:c r="I28" s="6" t="str">
        <x:v>G:/StructureClaw-All/structureclaw/tests/llm-benchmark/scenarios/standard_workflow/std-beam-report-en.json</x:v>
      </x:c>
      <x:c r="J28" s="30" t="n">
        <x:f>COUNTIFS('300题规划'!$R$2:$R$301,A28)+COUNTIFS('300题规划'!$S$2:$S$301,A28)</x:f>
        <x:v>0</x:v>
      </x:c>
      <x:c r="K28" s="30" t="n">
        <x:f>COUNTIFS('300个模型'!$I$2:$I$301,A28)</x:f>
        <x:v>0</x:v>
      </x:c>
      <x:c r="L28" s="6" t="str">
        <x:v>暂不直接引用；相近结构/输入样式已覆盖，可作后续素材备选</x:v>
      </x:c>
      <x:c r="M28" s="6" t="str">
        <x:v>无附件</x:v>
      </x:c>
      <x:c r="N28" s="6" t="str">
        <x:v>未指定</x:v>
      </x:c>
    </x:row>
    <x:row r="29" ht="52.5" customHeight="1">
      <x:c r="A29" s="32" t="str">
        <x:v>std-column-axial-600kn-lateral30</x:v>
      </x:c>
      <x:c r="B29" s="11" t="str">
        <x:v>标准工作流</x:v>
      </x:c>
      <x:c r="C29" s="11" t="str">
        <x:v>Reinforced concrete column with combined axial and lateral load</x:v>
      </x:c>
      <x:c r="D29" s="11" t="str">
        <x:v>L2</x:v>
      </x:c>
      <x:c r="E29" s="11" t="str">
        <x:v>英文</x:v>
      </x:c>
      <x:c r="F29" s="11" t="str">
        <x:v>text</x:v>
      </x:c>
      <x:c r="G29" s="11" t="n">
        <x:v>1</x:v>
      </x:c>
      <x:c r="H29" s="11" t="str">
        <x:v>column-concrete-4p2-600-30</x:v>
      </x:c>
      <x:c r="I29" s="11" t="str">
        <x:v>G:/StructureClaw-All/structureclaw/tests/llm-benchmark/scenarios/standard_workflow/std-column-axial-600kn-lateral30.json</x:v>
      </x:c>
      <x:c r="J29" s="30" t="n">
        <x:f>COUNTIFS('300题规划'!$R$2:$R$301,A29)+COUNTIFS('300题规划'!$S$2:$S$301,A29)</x:f>
        <x:v>1</x:v>
      </x:c>
      <x:c r="K29" s="30" t="n">
        <x:f>COUNTIFS('300个模型'!$I$2:$I$301,A29)</x:f>
        <x:v>3</x:v>
      </x:c>
      <x:c r="L29" s="11" t="str">
        <x:v>题面/交互/素材来源；每题独立建模并按新契约重验真值</x:v>
      </x:c>
      <x:c r="M29" s="11" t="str">
        <x:v>无附件</x:v>
      </x:c>
      <x:c r="N29" s="11" t="str">
        <x:v>未指定</x:v>
      </x:c>
    </x:row>
    <x:row r="30" ht="52.5" customHeight="1">
      <x:c r="A30" s="33" t="str">
        <x:v>std-column-steel-5m-en</x:v>
      </x:c>
      <x:c r="B30" s="6" t="str">
        <x:v>标准工作流</x:v>
      </x:c>
      <x:c r="C30" s="6" t="str">
        <x:v>Steel column axial load analysis</x:v>
      </x:c>
      <x:c r="D30" s="6" t="str">
        <x:v>L1</x:v>
      </x:c>
      <x:c r="E30" s="6" t="str">
        <x:v>英文</x:v>
      </x:c>
      <x:c r="F30" s="6" t="str">
        <x:v>text</x:v>
      </x:c>
      <x:c r="G30" s="6" t="n">
        <x:v>1</x:v>
      </x:c>
      <x:c r="H30" s="6" t="str">
        <x:v>column-steel-5m-700</x:v>
      </x:c>
      <x:c r="I30" s="6" t="str">
        <x:v>G:/StructureClaw-All/structureclaw/tests/llm-benchmark/scenarios/standard_workflow/std-column-steel-5m-en.json</x:v>
      </x:c>
      <x:c r="J30" s="30" t="n">
        <x:f>COUNTIFS('300题规划'!$R$2:$R$301,A30)+COUNTIFS('300题规划'!$S$2:$S$301,A30)</x:f>
        <x:v>1</x:v>
      </x:c>
      <x:c r="K30" s="30" t="n">
        <x:f>COUNTIFS('300个模型'!$I$2:$I$301,A30)</x:f>
        <x:v>3</x:v>
      </x:c>
      <x:c r="L30" s="6" t="str">
        <x:v>题面/交互/素材来源；每题独立建模并按新契约重验真值</x:v>
      </x:c>
      <x:c r="M30" s="6" t="str">
        <x:v>无附件</x:v>
      </x:c>
      <x:c r="N30" s="6" t="str">
        <x:v>未指定</x:v>
      </x:c>
    </x:row>
    <x:row r="31" ht="52.5" customHeight="1">
      <x:c r="A31" s="32" t="str">
        <x:v>std-concrete-frame3d-pkpm-en</x:v>
      </x:c>
      <x:c r="B31" s="11" t="str">
        <x:v>标准工作流</x:v>
      </x:c>
      <x:c r="C31" s="11" t="str">
        <x:v>3D reinforced concrete frame analysis with PKPM</x:v>
      </x:c>
      <x:c r="D31" s="11" t="str">
        <x:v>L2</x:v>
      </x:c>
      <x:c r="E31" s="11" t="str">
        <x:v>英文</x:v>
      </x:c>
      <x:c r="F31" s="11" t="str">
        <x:v>text</x:v>
      </x:c>
      <x:c r="G31" s="11" t="n">
        <x:v>1</x:v>
      </x:c>
      <x:c r="H31" s="11" t="str">
        <x:v>frame3d-concrete</x:v>
      </x:c>
      <x:c r="I31" s="11" t="str">
        <x:v>G:/StructureClaw-All/structureclaw/tests/llm-benchmark/scenarios/standard_workflow/std-concrete-frame3d-pkpm-en.json</x:v>
      </x:c>
      <x:c r="J31" s="30" t="n">
        <x:f>COUNTIFS('300题规划'!$R$2:$R$301,A31)+COUNTIFS('300题规划'!$S$2:$S$301,A31)</x:f>
        <x:v>0</x:v>
      </x:c>
      <x:c r="K31" s="30" t="n">
        <x:f>COUNTIFS('300个模型'!$I$2:$I$301,A31)</x:f>
        <x:v>0</x:v>
      </x:c>
      <x:c r="L31" s="11" t="str">
        <x:v>保留商业软件任务来源；按建筑场景挑选，不默认改用 OpenSees；标答按新模型和软件重验</x:v>
      </x:c>
      <x:c r="M31" s="11" t="str">
        <x:v>无附件</x:v>
      </x:c>
      <x:c r="N31" s="11" t="str">
        <x:v>PKPM</x:v>
      </x:c>
    </x:row>
    <x:row r="32" ht="52.5" customHeight="1">
      <x:c r="A32" s="33" t="str">
        <x:v>std-dspan-3span-gt</x:v>
      </x:c>
      <x:c r="B32" s="6" t="str">
        <x:v>标准工作流</x:v>
      </x:c>
      <x:c r="C32" s="6" t="str">
        <x:v>Three-span continuous beam ground-truth match</x:v>
      </x:c>
      <x:c r="D32" s="6" t="str">
        <x:v>L2</x:v>
      </x:c>
      <x:c r="E32" s="6" t="str">
        <x:v>英文</x:v>
      </x:c>
      <x:c r="F32" s="6" t="str">
        <x:v>text</x:v>
      </x:c>
      <x:c r="G32" s="6" t="n">
        <x:v>1</x:v>
      </x:c>
      <x:c r="H32" s="6" t="str">
        <x:v>dspan-complex-3span</x:v>
      </x:c>
      <x:c r="I32" s="6" t="str">
        <x:v>G:/StructureClaw-All/structureclaw/tests/llm-benchmark/scenarios/standard_workflow/std-dspan-3span-gt.json</x:v>
      </x:c>
      <x:c r="J32" s="30" t="n">
        <x:f>COUNTIFS('300题规划'!$R$2:$R$301,A32)+COUNTIFS('300题规划'!$S$2:$S$301,A32)</x:f>
        <x:v>1</x:v>
      </x:c>
      <x:c r="K32" s="30" t="n">
        <x:f>COUNTIFS('300个模型'!$I$2:$I$301,A32)</x:f>
        <x:v>0</x:v>
      </x:c>
      <x:c r="L32" s="6" t="str">
        <x:v>题面/交互/素材来源；每题独立建模并按新契约重验真值</x:v>
      </x:c>
      <x:c r="M32" s="6" t="str">
        <x:v>无附件</x:v>
      </x:c>
      <x:c r="N32" s="6" t="str">
        <x:v>未指定</x:v>
      </x:c>
    </x:row>
    <x:row r="33" ht="52.5" customHeight="1">
      <x:c r="A33" s="32" t="str">
        <x:v>std-dspan-5-6-gt</x:v>
      </x:c>
      <x:c r="B33" s="11" t="str">
        <x:v>标准工作流</x:v>
      </x:c>
      <x:c r="C33" s="11" t="str">
        <x:v>双跨连续梁真值匹配</x:v>
      </x:c>
      <x:c r="D33" s="11" t="str">
        <x:v>L2</x:v>
      </x:c>
      <x:c r="E33" s="11" t="str">
        <x:v>中文</x:v>
      </x:c>
      <x:c r="F33" s="11" t="str">
        <x:v>text</x:v>
      </x:c>
      <x:c r="G33" s="11" t="n">
        <x:v>1</x:v>
      </x:c>
      <x:c r="H33" s="11" t="str">
        <x:v>dspan-simple-5-6</x:v>
      </x:c>
      <x:c r="I33" s="11" t="str">
        <x:v>G:/StructureClaw-All/structureclaw/tests/llm-benchmark/scenarios/standard_workflow/std-dspan-5-6-gt.json</x:v>
      </x:c>
      <x:c r="J33" s="30" t="n">
        <x:f>COUNTIFS('300题规划'!$R$2:$R$301,A33)+COUNTIFS('300题规划'!$S$2:$S$301,A33)</x:f>
        <x:v>1</x:v>
      </x:c>
      <x:c r="K33" s="30" t="n">
        <x:f>COUNTIFS('300个模型'!$I$2:$I$301,A33)</x:f>
        <x:v>0</x:v>
      </x:c>
      <x:c r="L33" s="11" t="str">
        <x:v>题面/交互/素材来源；每题独立建模并按新契约重验真值</x:v>
      </x:c>
      <x:c r="M33" s="11" t="str">
        <x:v>无附件</x:v>
      </x:c>
      <x:c r="N33" s="11" t="str">
        <x:v>未指定</x:v>
      </x:c>
    </x:row>
    <x:row r="34" ht="52.5" customHeight="1">
      <x:c r="A34" s="33" t="str">
        <x:v>std-frame-3s2b-wind</x:v>
      </x:c>
      <x:c r="B34" s="6" t="str">
        <x:v>标准工作流</x:v>
      </x:c>
      <x:c r="C34" s="6" t="str">
        <x:v>3-story 2-bay steel frame with equivalent wind nodal loads</x:v>
      </x:c>
      <x:c r="D34" s="6" t="str">
        <x:v>L2</x:v>
      </x:c>
      <x:c r="E34" s="6" t="str">
        <x:v>英文</x:v>
      </x:c>
      <x:c r="F34" s="6" t="str">
        <x:v>text</x:v>
      </x:c>
      <x:c r="G34" s="6" t="n">
        <x:v>1</x:v>
      </x:c>
      <x:c r="H34" s="6" t="str">
        <x:v>frame-3s2b-6m-10k-wind</x:v>
      </x:c>
      <x:c r="I34" s="6" t="str">
        <x:v>G:/StructureClaw-All/structureclaw/tests/llm-benchmark/scenarios/standard_workflow/std-frame-3s2b-wind.json</x:v>
      </x:c>
      <x:c r="J34" s="30" t="n">
        <x:f>COUNTIFS('300题规划'!$R$2:$R$301,A34)+COUNTIFS('300题规划'!$S$2:$S$301,A34)</x:f>
        <x:v>1</x:v>
      </x:c>
      <x:c r="K34" s="30" t="n">
        <x:f>COUNTIFS('300个模型'!$I$2:$I$301,A34)</x:f>
        <x:v>3</x:v>
      </x:c>
      <x:c r="L34" s="6" t="str">
        <x:v>题面/交互/素材来源；每题独立建模并按新契约重验真值</x:v>
      </x:c>
      <x:c r="M34" s="6" t="str">
        <x:v>无附件</x:v>
      </x:c>
      <x:c r="N34" s="6" t="str">
        <x:v>OpenSees</x:v>
      </x:c>
    </x:row>
    <x:row r="35" ht="52.5" customHeight="1">
      <x:c r="A35" s="32" t="str">
        <x:v>std-frame3d-complex-gt</x:v>
      </x:c>
      <x:c r="B35" s="11" t="str">
        <x:v>标准工作流</x:v>
      </x:c>
      <x:c r="C35" s="11" t="str">
        <x:v>复杂空间钢框架真值匹配</x:v>
      </x:c>
      <x:c r="D35" s="11" t="str">
        <x:v>L3</x:v>
      </x:c>
      <x:c r="E35" s="11" t="str">
        <x:v>中文</x:v>
      </x:c>
      <x:c r="F35" s="11" t="str">
        <x:v>text</x:v>
      </x:c>
      <x:c r="G35" s="11" t="n">
        <x:v>1</x:v>
      </x:c>
      <x:c r="H35" s="11" t="str">
        <x:v>frame3d-complex</x:v>
      </x:c>
      <x:c r="I35" s="11" t="str">
        <x:v>G:/StructureClaw-All/structureclaw/tests/llm-benchmark/scenarios/standard_workflow/std-frame3d-complex-gt.json</x:v>
      </x:c>
      <x:c r="J35" s="30" t="n">
        <x:f>COUNTIFS('300题规划'!$R$2:$R$301,A35)+COUNTIFS('300题规划'!$S$2:$S$301,A35)</x:f>
        <x:v>1</x:v>
      </x:c>
      <x:c r="K35" s="30" t="n">
        <x:f>COUNTIFS('300个模型'!$I$2:$I$301,A35)</x:f>
        <x:v>3</x:v>
      </x:c>
      <x:c r="L35" s="11" t="str">
        <x:v>题面/交互/素材来源；每题独立建模并按新契约重验真值</x:v>
      </x:c>
      <x:c r="M35" s="11" t="str">
        <x:v>无附件</x:v>
      </x:c>
      <x:c r="N35" s="11" t="str">
        <x:v>PKPM</x:v>
      </x:c>
    </x:row>
    <x:row r="36" ht="52.5" customHeight="1">
      <x:c r="A36" s="33" t="str">
        <x:v>std-frame3d-complex-yjk-zh</x:v>
      </x:c>
      <x:c r="B36" s="6" t="str">
        <x:v>标准工作流</x:v>
      </x:c>
      <x:c r="C36" s="6" t="str">
        <x:v>YJK两层复杂空间钢框架静力分析</x:v>
      </x:c>
      <x:c r="D36" s="6" t="str">
        <x:v>L2</x:v>
      </x:c>
      <x:c r="E36" s="6" t="str">
        <x:v>中文</x:v>
      </x:c>
      <x:c r="F36" s="6" t="str">
        <x:v>text</x:v>
      </x:c>
      <x:c r="G36" s="6" t="n">
        <x:v>1</x:v>
      </x:c>
      <x:c r="H36" s="6" t="str">
        <x:v>frame3d-complex</x:v>
      </x:c>
      <x:c r="I36" s="6" t="str">
        <x:v>G:/StructureClaw-All/structureclaw/tests/llm-benchmark/scenarios/standard_workflow/std-frame3d-complex-yjk-zh.json</x:v>
      </x:c>
      <x:c r="J36" s="30" t="n">
        <x:f>COUNTIFS('300题规划'!$R$2:$R$301,A36)+COUNTIFS('300题规划'!$S$2:$S$301,A36)</x:f>
        <x:v>0</x:v>
      </x:c>
      <x:c r="K36" s="30" t="n">
        <x:f>COUNTIFS('300个模型'!$I$2:$I$301,A36)</x:f>
        <x:v>0</x:v>
      </x:c>
      <x:c r="L36" s="6" t="str">
        <x:v>保留商业软件任务来源；按建筑场景挑选，不默认改用 OpenSees；标答按新模型和软件重验</x:v>
      </x:c>
      <x:c r="M36" s="6" t="str">
        <x:v>无附件</x:v>
      </x:c>
      <x:c r="N36" s="6" t="str">
        <x:v>YJK</x:v>
      </x:c>
    </x:row>
    <x:row r="37" ht="52.5" customHeight="1">
      <x:c r="A37" s="32" t="str">
        <x:v>std-frame3d-concrete-gt</x:v>
      </x:c>
      <x:c r="B37" s="11" t="str">
        <x:v>标准工作流</x:v>
      </x:c>
      <x:c r="C37" s="11" t="str">
        <x:v>3D混凝土框架真值匹配</x:v>
      </x:c>
      <x:c r="D37" s="11" t="str">
        <x:v>L3</x:v>
      </x:c>
      <x:c r="E37" s="11" t="str">
        <x:v>中文</x:v>
      </x:c>
      <x:c r="F37" s="11" t="str">
        <x:v>text</x:v>
      </x:c>
      <x:c r="G37" s="11" t="n">
        <x:v>1</x:v>
      </x:c>
      <x:c r="H37" s="11" t="str">
        <x:v>frame3d-concrete</x:v>
      </x:c>
      <x:c r="I37" s="11" t="str">
        <x:v>G:/StructureClaw-All/structureclaw/tests/llm-benchmark/scenarios/standard_workflow/std-frame3d-concrete-gt.json</x:v>
      </x:c>
      <x:c r="J37" s="30" t="n">
        <x:f>COUNTIFS('300题规划'!$R$2:$R$301,A37)+COUNTIFS('300题规划'!$S$2:$S$301,A37)</x:f>
        <x:v>1</x:v>
      </x:c>
      <x:c r="K37" s="30" t="n">
        <x:f>COUNTIFS('300个模型'!$I$2:$I$301,A37)</x:f>
        <x:v>3</x:v>
      </x:c>
      <x:c r="L37" s="11" t="str">
        <x:v>题面/交互/素材来源；每题独立建模并按新契约重验真值</x:v>
      </x:c>
      <x:c r="M37" s="11" t="str">
        <x:v>无附件</x:v>
      </x:c>
      <x:c r="N37" s="11" t="str">
        <x:v>YJK</x:v>
      </x:c>
    </x:row>
    <x:row r="38" ht="52.5" customHeight="1">
      <x:c r="A38" s="33" t="str">
        <x:v>std-frame3d-simple-gt</x:v>
      </x:c>
      <x:c r="B38" s="6" t="str">
        <x:v>标准工作流</x:v>
      </x:c>
      <x:c r="C38" s="6" t="str">
        <x:v>2层空间钢框架真值匹配</x:v>
      </x:c>
      <x:c r="D38" s="6" t="str">
        <x:v>L2</x:v>
      </x:c>
      <x:c r="E38" s="6" t="str">
        <x:v>中文</x:v>
      </x:c>
      <x:c r="F38" s="6" t="str">
        <x:v>text</x:v>
      </x:c>
      <x:c r="G38" s="6" t="n">
        <x:v>1</x:v>
      </x:c>
      <x:c r="H38" s="6" t="str">
        <x:v>frame3d-simple</x:v>
      </x:c>
      <x:c r="I38" s="6" t="str">
        <x:v>G:/StructureClaw-All/structureclaw/tests/llm-benchmark/scenarios/standard_workflow/std-frame3d-simple-gt.json</x:v>
      </x:c>
      <x:c r="J38" s="30" t="n">
        <x:f>COUNTIFS('300题规划'!$R$2:$R$301,A38)+COUNTIFS('300题规划'!$S$2:$S$301,A38)</x:f>
        <x:v>1</x:v>
      </x:c>
      <x:c r="K38" s="30" t="n">
        <x:f>COUNTIFS('300个模型'!$I$2:$I$301,A38)</x:f>
        <x:v>3</x:v>
      </x:c>
      <x:c r="L38" s="6" t="str">
        <x:v>题面/交互/素材来源；每题独立建模并按新契约重验真值</x:v>
      </x:c>
      <x:c r="M38" s="6" t="str">
        <x:v>无附件</x:v>
      </x:c>
      <x:c r="N38" s="6" t="str">
        <x:v>OpenSees</x:v>
      </x:c>
    </x:row>
    <x:row r="39" ht="52.5" customHeight="1">
      <x:c r="A39" s="32" t="str">
        <x:v>std-frame3d-simple-pkpm-en</x:v>
      </x:c>
      <x:c r="B39" s="11" t="str">
        <x:v>标准工作流</x:v>
      </x:c>
      <x:c r="C39" s="11" t="str">
        <x:v>Simple spatial steel frame analysis with PKPM</x:v>
      </x:c>
      <x:c r="D39" s="11" t="str">
        <x:v>L2</x:v>
      </x:c>
      <x:c r="E39" s="11" t="str">
        <x:v>英文</x:v>
      </x:c>
      <x:c r="F39" s="11" t="str">
        <x:v>text</x:v>
      </x:c>
      <x:c r="G39" s="11" t="n">
        <x:v>1</x:v>
      </x:c>
      <x:c r="H39" s="11" t="str">
        <x:v>frame3d-simple</x:v>
      </x:c>
      <x:c r="I39" s="11" t="str">
        <x:v>G:/StructureClaw-All/structureclaw/tests/llm-benchmark/scenarios/standard_workflow/std-frame3d-simple-pkpm-en.json</x:v>
      </x:c>
      <x:c r="J39" s="30" t="n">
        <x:f>COUNTIFS('300题规划'!$R$2:$R$301,A39)+COUNTIFS('300题规划'!$S$2:$S$301,A39)</x:f>
        <x:v>0</x:v>
      </x:c>
      <x:c r="K39" s="30" t="n">
        <x:f>COUNTIFS('300个模型'!$I$2:$I$301,A39)</x:f>
        <x:v>0</x:v>
      </x:c>
      <x:c r="L39" s="11" t="str">
        <x:v>保留商业软件任务来源；按建筑场景挑选，不默认改用 OpenSees；标答按新模型和软件重验</x:v>
      </x:c>
      <x:c r="M39" s="11" t="str">
        <x:v>无附件</x:v>
      </x:c>
      <x:c r="N39" s="11" t="str">
        <x:v>PKPM</x:v>
      </x:c>
    </x:row>
    <x:row r="40" ht="52.5" customHeight="1">
      <x:c r="A40" s="33" t="str">
        <x:v>std-generic-single-bay-lateral</x:v>
      </x:c>
      <x:c r="B40" s="6" t="str">
        <x:v>标准工作流</x:v>
      </x:c>
      <x:c r="C40" s="6" t="str">
        <x:v>通用单跨平面结构水平荷载分析</x:v>
      </x:c>
      <x:c r="D40" s="6" t="str">
        <x:v>L3</x:v>
      </x:c>
      <x:c r="E40" s="6" t="str">
        <x:v>中文</x:v>
      </x:c>
      <x:c r="F40" s="6" t="str">
        <x:v>text</x:v>
      </x:c>
      <x:c r="G40" s="6" t="n">
        <x:v>1</x:v>
      </x:c>
      <x:c r="H40" s="6" t="str">
        <x:v>generic-single-bay-6m-4m-lateral50</x:v>
      </x:c>
      <x:c r="I40" s="6" t="str">
        <x:v>G:/StructureClaw-All/structureclaw/tests/llm-benchmark/scenarios/standard_workflow/std-generic-single-bay-lateral.json</x:v>
      </x:c>
      <x:c r="J40" s="30" t="n">
        <x:f>COUNTIFS('300题规划'!$R$2:$R$301,A40)+COUNTIFS('300题规划'!$S$2:$S$301,A40)</x:f>
        <x:v>1</x:v>
      </x:c>
      <x:c r="K40" s="30" t="n">
        <x:f>COUNTIFS('300个模型'!$I$2:$I$301,A40)</x:f>
        <x:v>3</x:v>
      </x:c>
      <x:c r="L40" s="6" t="str">
        <x:v>题面/交互/素材来源；每题独立建模并按新契约重验真值</x:v>
      </x:c>
      <x:c r="M40" s="6" t="str">
        <x:v>无附件</x:v>
      </x:c>
      <x:c r="N40" s="6" t="str">
        <x:v>未指定</x:v>
      </x:c>
    </x:row>
    <x:row r="41" ht="52.5" customHeight="1">
      <x:c r="A41" s="32" t="str">
        <x:v>std-portal-18m-gt</x:v>
      </x:c>
      <x:c r="B41" s="11" t="str">
        <x:v>标准工作流</x:v>
      </x:c>
      <x:c r="C41" s="11" t="str">
        <x:v>门式刚架18m真值匹配</x:v>
      </x:c>
      <x:c r="D41" s="11" t="str">
        <x:v>L2</x:v>
      </x:c>
      <x:c r="E41" s="11" t="str">
        <x:v>中文</x:v>
      </x:c>
      <x:c r="F41" s="11" t="str">
        <x:v>text</x:v>
      </x:c>
      <x:c r="G41" s="11" t="n">
        <x:v>1</x:v>
      </x:c>
      <x:c r="H41" s="11" t="str">
        <x:v>portal-simple-18m</x:v>
      </x:c>
      <x:c r="I41" s="11" t="str">
        <x:v>G:/StructureClaw-All/structureclaw/tests/llm-benchmark/scenarios/standard_workflow/std-portal-18m-gt.json</x:v>
      </x:c>
      <x:c r="J41" s="30" t="n">
        <x:f>COUNTIFS('300题规划'!$R$2:$R$301,A41)+COUNTIFS('300题规划'!$S$2:$S$301,A41)</x:f>
        <x:v>1</x:v>
      </x:c>
      <x:c r="K41" s="30" t="n">
        <x:f>COUNTIFS('300个模型'!$I$2:$I$301,A41)</x:f>
        <x:v>0</x:v>
      </x:c>
      <x:c r="L41" s="11" t="str">
        <x:v>题面/交互/素材来源；每题独立建模并按新契约重验真值</x:v>
      </x:c>
      <x:c r="M41" s="11" t="str">
        <x:v>无附件</x:v>
      </x:c>
      <x:c r="N41" s="11" t="str">
        <x:v>未指定</x:v>
      </x:c>
    </x:row>
    <x:row r="42" ht="52.5" customHeight="1">
      <x:c r="A42" s="33" t="str">
        <x:v>std-portal-double-gt</x:v>
      </x:c>
      <x:c r="B42" s="6" t="str">
        <x:v>标准工作流</x:v>
      </x:c>
      <x:c r="C42" s="6" t="str">
        <x:v>Double-span portal frame ground-truth match</x:v>
      </x:c>
      <x:c r="D42" s="6" t="str">
        <x:v>L3</x:v>
      </x:c>
      <x:c r="E42" s="6" t="str">
        <x:v>英文</x:v>
      </x:c>
      <x:c r="F42" s="6" t="str">
        <x:v>text</x:v>
      </x:c>
      <x:c r="G42" s="6" t="n">
        <x:v>1</x:v>
      </x:c>
      <x:c r="H42" s="6" t="str">
        <x:v>portal-complex-ds</x:v>
      </x:c>
      <x:c r="I42" s="6" t="str">
        <x:v>G:/StructureClaw-All/structureclaw/tests/llm-benchmark/scenarios/standard_workflow/std-portal-double-gt.json</x:v>
      </x:c>
      <x:c r="J42" s="30" t="n">
        <x:f>COUNTIFS('300题规划'!$R$2:$R$301,A42)+COUNTIFS('300题规划'!$S$2:$S$301,A42)</x:f>
        <x:v>1</x:v>
      </x:c>
      <x:c r="K42" s="30" t="n">
        <x:f>COUNTIFS('300个模型'!$I$2:$I$301,A42)</x:f>
        <x:v>3</x:v>
      </x:c>
      <x:c r="L42" s="6" t="str">
        <x:v>题面/交互/素材来源；每题独立建模并按新契约重验真值</x:v>
      </x:c>
      <x:c r="M42" s="6" t="str">
        <x:v>无附件</x:v>
      </x:c>
      <x:c r="N42" s="6" t="str">
        <x:v>未指定</x:v>
      </x:c>
    </x:row>
    <x:row r="43" ht="52.5" customHeight="1">
      <x:c r="A43" s="32" t="str">
        <x:v>std-truss-pratt-15m</x:v>
      </x:c>
      <x:c r="B43" s="11" t="str">
        <x:v>标准工作流</x:v>
      </x:c>
      <x:c r="C43" s="11" t="str">
        <x:v>Pratt桁架15m分析</x:v>
      </x:c>
      <x:c r="D43" s="11" t="str">
        <x:v>L2</x:v>
      </x:c>
      <x:c r="E43" s="11" t="str">
        <x:v>中文</x:v>
      </x:c>
      <x:c r="F43" s="11" t="str">
        <x:v>text</x:v>
      </x:c>
      <x:c r="G43" s="11" t="n">
        <x:v>1</x:v>
      </x:c>
      <x:c r="H43" s="11" t="str">
        <x:v>truss-pratt-15m-top10</x:v>
      </x:c>
      <x:c r="I43" s="11" t="str">
        <x:v>G:/StructureClaw-All/structureclaw/tests/llm-benchmark/scenarios/standard_workflow/std-truss-pratt-15m.json</x:v>
      </x:c>
      <x:c r="J43" s="30" t="n">
        <x:f>COUNTIFS('300题规划'!$R$2:$R$301,A43)+COUNTIFS('300题规划'!$S$2:$S$301,A43)</x:f>
        <x:v>1</x:v>
      </x:c>
      <x:c r="K43" s="30" t="n">
        <x:f>COUNTIFS('300个模型'!$I$2:$I$301,A43)</x:f>
        <x:v>0</x:v>
      </x:c>
      <x:c r="L43" s="11" t="str">
        <x:v>题面/交互/素材来源；每题独立建模并按新契约重验真值</x:v>
      </x:c>
      <x:c r="M43" s="11" t="str">
        <x:v>无附件</x:v>
      </x:c>
      <x:c r="N43" s="11" t="str">
        <x:v>未指定</x:v>
      </x:c>
    </x:row>
    <x:row r="44" ht="52.5" customHeight="1">
      <x:c r="A44" s="33" t="str">
        <x:v>std-truss-trapezoid-18m</x:v>
      </x:c>
      <x:c r="B44" s="6" t="str">
        <x:v>标准工作流</x:v>
      </x:c>
      <x:c r="C44" s="6" t="str">
        <x:v>梯形桁架18m分析</x:v>
      </x:c>
      <x:c r="D44" s="6" t="str">
        <x:v>L2</x:v>
      </x:c>
      <x:c r="E44" s="6" t="str">
        <x:v>中文</x:v>
      </x:c>
      <x:c r="F44" s="6" t="str">
        <x:v>text</x:v>
      </x:c>
      <x:c r="G44" s="6" t="n">
        <x:v>1</x:v>
      </x:c>
      <x:c r="H44" s="6" t="str">
        <x:v>truss-complex-trap-12k</x:v>
      </x:c>
      <x:c r="I44" s="6" t="str">
        <x:v>G:/StructureClaw-All/structureclaw/tests/llm-benchmark/scenarios/standard_workflow/std-truss-trapezoid-18m.json</x:v>
      </x:c>
      <x:c r="J44" s="30" t="n">
        <x:f>COUNTIFS('300题规划'!$R$2:$R$301,A44)+COUNTIFS('300题规划'!$S$2:$S$301,A44)</x:f>
        <x:v>0</x:v>
      </x:c>
      <x:c r="K44" s="30" t="n">
        <x:f>COUNTIFS('300个模型'!$I$2:$I$301,A44)</x:f>
        <x:v>0</x:v>
      </x:c>
      <x:c r="L44" s="6" t="str">
        <x:v>暂不直接引用；相近结构/输入样式已覆盖，可作后续素材备选</x:v>
      </x:c>
      <x:c r="M44" s="6" t="str">
        <x:v>无附件</x:v>
      </x:c>
      <x:c r="N44" s="6" t="str">
        <x:v>未指定</x:v>
      </x:c>
    </x:row>
    <x:row r="45" ht="52.5" customHeight="1">
      <x:c r="A45" s="32" t="str">
        <x:v>std-truss-tri-en</x:v>
      </x:c>
      <x:c r="B45" s="11" t="str">
        <x:v>标准工作流</x:v>
      </x:c>
      <x:c r="C45" s="11" t="str">
        <x:v>Triangular truss analysis in English</x:v>
      </x:c>
      <x:c r="D45" s="11" t="str">
        <x:v>L2</x:v>
      </x:c>
      <x:c r="E45" s="11" t="str">
        <x:v>英文</x:v>
      </x:c>
      <x:c r="F45" s="11" t="str">
        <x:v>text</x:v>
      </x:c>
      <x:c r="G45" s="11" t="n">
        <x:v>1</x:v>
      </x:c>
      <x:c r="H45" s="11" t="str">
        <x:v>truss-triangle-15m-2p5-10k</x:v>
      </x:c>
      <x:c r="I45" s="11" t="str">
        <x:v>G:/StructureClaw-All/structureclaw/tests/llm-benchmark/scenarios/standard_workflow/std-truss-tri-en.json</x:v>
      </x:c>
      <x:c r="J45" s="30" t="n">
        <x:f>COUNTIFS('300题规划'!$R$2:$R$301,A45)+COUNTIFS('300题规划'!$S$2:$S$301,A45)</x:f>
        <x:v>1</x:v>
      </x:c>
      <x:c r="K45" s="30" t="n">
        <x:f>COUNTIFS('300个模型'!$I$2:$I$301,A45)</x:f>
        <x:v>3</x:v>
      </x:c>
      <x:c r="L45" s="11" t="str">
        <x:v>题面/交互/素材来源；每题独立建模并按新契约重验真值</x:v>
      </x:c>
      <x:c r="M45" s="11" t="str">
        <x:v>无附件</x:v>
      </x:c>
      <x:c r="N45" s="11" t="str">
        <x:v>未指定</x:v>
      </x:c>
    </x:row>
    <x:row r="46" ht="52.5" customHeight="1">
      <x:c r="A46" s="33" t="str">
        <x:v>three-span-continuous-beam-static</x:v>
      </x:c>
      <x:c r="B46" s="6" t="str">
        <x:v>标准工作流</x:v>
      </x:c>
      <x:c r="C46" s="6" t="str">
        <x:v>三跨连续梁静力分析</x:v>
      </x:c>
      <x:c r="D46" s="6" t="str">
        <x:v>L1</x:v>
      </x:c>
      <x:c r="E46" s="6" t="str">
        <x:v>中文</x:v>
      </x:c>
      <x:c r="F46" s="6" t="str">
        <x:v>text</x:v>
      </x:c>
      <x:c r="G46" s="6" t="n">
        <x:v>1</x:v>
      </x:c>
      <x:c r="H46" s="6" t="str">
        <x:v>dspan-complex-3span</x:v>
      </x:c>
      <x:c r="I46" s="6" t="str">
        <x:v>G:/StructureClaw-All/structureclaw/tests/llm-benchmark/scenarios/standard_workflow/three-span-continuous-beam-static.json</x:v>
      </x:c>
      <x:c r="J46" s="30" t="n">
        <x:f>COUNTIFS('300题规划'!$R$2:$R$301,A46)+COUNTIFS('300题规划'!$S$2:$S$301,A46)</x:f>
        <x:v>1</x:v>
      </x:c>
      <x:c r="K46" s="30" t="n">
        <x:f>COUNTIFS('300个模型'!$I$2:$I$301,A46)</x:f>
        <x:v>3</x:v>
      </x:c>
      <x:c r="L46" s="6" t="str">
        <x:v>题面/交互/素材来源；每题独立建模并按新契约重验真值</x:v>
      </x:c>
      <x:c r="M46" s="6" t="str">
        <x:v>无附件</x:v>
      </x:c>
      <x:c r="N46" s="6" t="str">
        <x:v>未指定</x:v>
      </x:c>
    </x:row>
    <x:row r="47" ht="52.5" customHeight="1">
      <x:c r="A47" s="32" t="str">
        <x:v>truss-pratt-static</x:v>
      </x:c>
      <x:c r="B47" s="11" t="str">
        <x:v>标准工作流</x:v>
      </x:c>
      <x:c r="C47" s="11" t="str">
        <x:v>Pratt truss static analysis</x:v>
      </x:c>
      <x:c r="D47" s="11" t="str">
        <x:v>L1</x:v>
      </x:c>
      <x:c r="E47" s="11" t="str">
        <x:v>英文</x:v>
      </x:c>
      <x:c r="F47" s="11" t="str">
        <x:v>text</x:v>
      </x:c>
      <x:c r="G47" s="11" t="n">
        <x:v>1</x:v>
      </x:c>
      <x:c r="H47" s="11" t="str">
        <x:v>truss-pratt-15m-top10</x:v>
      </x:c>
      <x:c r="I47" s="11" t="str">
        <x:v>G:/StructureClaw-All/structureclaw/tests/llm-benchmark/scenarios/standard_workflow/truss-pratt-static.json</x:v>
      </x:c>
      <x:c r="J47" s="30" t="n">
        <x:f>COUNTIFS('300题规划'!$R$2:$R$301,A47)+COUNTIFS('300题规划'!$S$2:$S$301,A47)</x:f>
        <x:v>1</x:v>
      </x:c>
      <x:c r="K47" s="30" t="n">
        <x:f>COUNTIFS('300个模型'!$I$2:$I$301,A47)</x:f>
        <x:v>3</x:v>
      </x:c>
      <x:c r="L47" s="11" t="str">
        <x:v>题面/交互/素材来源；每题独立建模并按新契约重验真值</x:v>
      </x:c>
      <x:c r="M47" s="11" t="str">
        <x:v>无附件</x:v>
      </x:c>
      <x:c r="N47" s="11" t="str">
        <x:v>未指定</x:v>
      </x:c>
    </x:row>
    <x:row r="48" ht="52.5" customHeight="1">
      <x:c r="A48" s="33" t="str">
        <x:v>truss-roof-en</x:v>
      </x:c>
      <x:c r="B48" s="6" t="str">
        <x:v>标准工作流</x:v>
      </x:c>
      <x:c r="C48" s="6" t="str">
        <x:v>Steel roof truss static analysis</x:v>
      </x:c>
      <x:c r="D48" s="6" t="str">
        <x:v>L2</x:v>
      </x:c>
      <x:c r="E48" s="6" t="str">
        <x:v>英文</x:v>
      </x:c>
      <x:c r="F48" s="6" t="str">
        <x:v>text</x:v>
      </x:c>
      <x:c r="G48" s="6" t="n">
        <x:v>1</x:v>
      </x:c>
      <x:c r="H48" s="6" t="str">
        <x:v>truss-roof-18m-3m-12k</x:v>
      </x:c>
      <x:c r="I48" s="6" t="str">
        <x:v>G:/StructureClaw-All/structureclaw/tests/llm-benchmark/scenarios/standard_workflow/truss-roof-en.json</x:v>
      </x:c>
      <x:c r="J48" s="30" t="n">
        <x:f>COUNTIFS('300题规划'!$R$2:$R$301,A48)+COUNTIFS('300题规划'!$S$2:$S$301,A48)</x:f>
        <x:v>1</x:v>
      </x:c>
      <x:c r="K48" s="30" t="n">
        <x:f>COUNTIFS('300个模型'!$I$2:$I$301,A48)</x:f>
        <x:v>3</x:v>
      </x:c>
      <x:c r="L48" s="6" t="str">
        <x:v>题面/交互/素材来源；每题独立建模并按新契约重验真值</x:v>
      </x:c>
      <x:c r="M48" s="6" t="str">
        <x:v>无附件</x:v>
      </x:c>
      <x:c r="N48" s="6" t="str">
        <x:v>未指定</x:v>
      </x:c>
    </x:row>
    <x:row r="49" ht="52.5" customHeight="1">
      <x:c r="A49" s="32" t="str">
        <x:v>truss-trapezoidal-static</x:v>
      </x:c>
      <x:c r="B49" s="11" t="str">
        <x:v>标准工作流</x:v>
      </x:c>
      <x:c r="C49" s="11" t="str">
        <x:v>梯形桁架静力分析</x:v>
      </x:c>
      <x:c r="D49" s="11" t="str">
        <x:v>L1</x:v>
      </x:c>
      <x:c r="E49" s="11" t="str">
        <x:v>中文</x:v>
      </x:c>
      <x:c r="F49" s="11" t="str">
        <x:v>text</x:v>
      </x:c>
      <x:c r="G49" s="11" t="n">
        <x:v>1</x:v>
      </x:c>
      <x:c r="H49" s="11" t="str">
        <x:v>truss-complex-trap</x:v>
      </x:c>
      <x:c r="I49" s="11" t="str">
        <x:v>G:/StructureClaw-All/structureclaw/tests/llm-benchmark/scenarios/standard_workflow/truss-trapezoidal-static.json</x:v>
      </x:c>
      <x:c r="J49" s="30" t="n">
        <x:f>COUNTIFS('300题规划'!$R$2:$R$301,A49)+COUNTIFS('300题规划'!$S$2:$S$301,A49)</x:f>
        <x:v>1</x:v>
      </x:c>
      <x:c r="K49" s="30" t="n">
        <x:f>COUNTIFS('300个模型'!$I$2:$I$301,A49)</x:f>
        <x:v>3</x:v>
      </x:c>
      <x:c r="L49" s="11" t="str">
        <x:v>题面/交互/素材来源；每题独立建模并按新契约重验真值</x:v>
      </x:c>
      <x:c r="M49" s="11" t="str">
        <x:v>无附件</x:v>
      </x:c>
      <x:c r="N49" s="11" t="str">
        <x:v>未指定</x:v>
      </x:c>
    </x:row>
    <x:row r="50" ht="52.5" customHeight="1">
      <x:c r="A50" s="33" t="str">
        <x:v>truss-triangle-static</x:v>
      </x:c>
      <x:c r="B50" s="6" t="str">
        <x:v>标准工作流</x:v>
      </x:c>
      <x:c r="C50" s="6" t="str">
        <x:v>三角桁架静力分析</x:v>
      </x:c>
      <x:c r="D50" s="6" t="str">
        <x:v>L1</x:v>
      </x:c>
      <x:c r="E50" s="6" t="str">
        <x:v>中文</x:v>
      </x:c>
      <x:c r="F50" s="6" t="str">
        <x:v>text</x:v>
      </x:c>
      <x:c r="G50" s="6" t="n">
        <x:v>1</x:v>
      </x:c>
      <x:c r="H50" s="6" t="str">
        <x:v>truss-triangle-12m-3m-20k</x:v>
      </x:c>
      <x:c r="I50" s="6" t="str">
        <x:v>G:/StructureClaw-All/structureclaw/tests/llm-benchmark/scenarios/standard_workflow/truss-triangle-static.json</x:v>
      </x:c>
      <x:c r="J50" s="30" t="n">
        <x:f>COUNTIFS('300题规划'!$R$2:$R$301,A50)+COUNTIFS('300题规划'!$S$2:$S$301,A50)</x:f>
        <x:v>1</x:v>
      </x:c>
      <x:c r="K50" s="30" t="n">
        <x:f>COUNTIFS('300个模型'!$I$2:$I$301,A50)</x:f>
        <x:v>3</x:v>
      </x:c>
      <x:c r="L50" s="6" t="str">
        <x:v>题面/交互/素材来源；每题独立建模并按新契约重验真值</x:v>
      </x:c>
      <x:c r="M50" s="6" t="str">
        <x:v>无附件</x:v>
      </x:c>
      <x:c r="N50" s="6" t="str">
        <x:v>未指定</x:v>
      </x:c>
    </x:row>
    <x:row r="51" ht="52.5" customHeight="1">
      <x:c r="A51" s="32" t="str">
        <x:v>truss-warren-en</x:v>
      </x:c>
      <x:c r="B51" s="11" t="str">
        <x:v>标准工作流</x:v>
      </x:c>
      <x:c r="C51" s="11" t="str">
        <x:v>Warren truss static analysis</x:v>
      </x:c>
      <x:c r="D51" s="11" t="str">
        <x:v>L1</x:v>
      </x:c>
      <x:c r="E51" s="11" t="str">
        <x:v>英文</x:v>
      </x:c>
      <x:c r="F51" s="11" t="str">
        <x:v>text</x:v>
      </x:c>
      <x:c r="G51" s="11" t="n">
        <x:v>1</x:v>
      </x:c>
      <x:c r="H51" s="11" t="str">
        <x:v>truss-warren-12m-2m-8k</x:v>
      </x:c>
      <x:c r="I51" s="11" t="str">
        <x:v>G:/StructureClaw-All/structureclaw/tests/llm-benchmark/scenarios/standard_workflow/truss-warren-en.json</x:v>
      </x:c>
      <x:c r="J51" s="30" t="n">
        <x:f>COUNTIFS('300题规划'!$R$2:$R$301,A51)+COUNTIFS('300题规划'!$S$2:$S$301,A51)</x:f>
        <x:v>1</x:v>
      </x:c>
      <x:c r="K51" s="30" t="n">
        <x:f>COUNTIFS('300个模型'!$I$2:$I$301,A51)</x:f>
        <x:v>3</x:v>
      </x:c>
      <x:c r="L51" s="11" t="str">
        <x:v>题面/交互/素材来源；每题独立建模并按新契约重验真值</x:v>
      </x:c>
      <x:c r="M51" s="11" t="str">
        <x:v>无附件</x:v>
      </x:c>
      <x:c r="N51" s="11" t="str">
        <x:v>未指定</x:v>
      </x:c>
    </x:row>
    <x:row r="52" ht="52.5" customHeight="1">
      <x:c r="A52" s="33" t="str">
        <x:v>beam-error-contradictory-params</x:v>
      </x:c>
      <x:c r="B52" s="6" t="str">
        <x:v>交互鲁棒性</x:v>
      </x:c>
      <x:c r="C52" s="6" t="str">
        <x:v>矛盾参数错误恢复 — 负跨度和零宽度</x:v>
      </x:c>
      <x:c r="D52" s="6" t="str">
        <x:v>L2</x:v>
      </x:c>
      <x:c r="E52" s="6" t="str">
        <x:v>中文</x:v>
      </x:c>
      <x:c r="F52" s="6" t="str">
        <x:v>text</x:v>
      </x:c>
      <x:c r="G52" s="6" t="n">
        <x:v>1</x:v>
      </x:c>
      <x:c r="H52" s="6" t="str">
        <x:v>无数值标答引用</x:v>
      </x:c>
      <x:c r="I52" s="6" t="str">
        <x:v>G:/StructureClaw-All/structureclaw/tests/llm-benchmark/scenarios/interactive_robustness/beam-error-contradictory-params.json</x:v>
      </x:c>
      <x:c r="J52" s="30" t="n">
        <x:f>COUNTIFS('300题规划'!$R$2:$R$301,A52)+COUNTIFS('300题规划'!$S$2:$S$301,A52)</x:f>
        <x:v>0</x:v>
      </x:c>
      <x:c r="K52" s="30" t="n">
        <x:f>COUNTIFS('300个模型'!$I$2:$I$301,A52)</x:f>
        <x:v>0</x:v>
      </x:c>
      <x:c r="L52" s="6" t="str">
        <x:v>暂不直接引用；相近结构/输入样式已覆盖，可作后续素材备选</x:v>
      </x:c>
      <x:c r="M52" s="6" t="str">
        <x:v>无附件</x:v>
      </x:c>
      <x:c r="N52" s="6" t="str">
        <x:v>未指定</x:v>
      </x:c>
    </x:row>
    <x:row r="53" ht="52.5" customHeight="1">
      <x:c r="A53" s="32" t="str">
        <x:v>beam-error-impossible-values</x:v>
      </x:c>
      <x:c r="B53" s="11" t="str">
        <x:v>交互鲁棒性</x:v>
      </x:c>
      <x:c r="C53" s="11" t="str">
        <x:v>Unrealistic beam values recovery - huge span and tiny section</x:v>
      </x:c>
      <x:c r="D53" s="11" t="str">
        <x:v>L2</x:v>
      </x:c>
      <x:c r="E53" s="11" t="str">
        <x:v>英文</x:v>
      </x:c>
      <x:c r="F53" s="11" t="str">
        <x:v>text</x:v>
      </x:c>
      <x:c r="G53" s="11" t="n">
        <x:v>1</x:v>
      </x:c>
      <x:c r="H53" s="11" t="str">
        <x:v>无数值标答引用</x:v>
      </x:c>
      <x:c r="I53" s="11" t="str">
        <x:v>G:/StructureClaw-All/structureclaw/tests/llm-benchmark/scenarios/interactive_robustness/beam-error-impossible-values.json</x:v>
      </x:c>
      <x:c r="J53" s="30" t="n">
        <x:f>COUNTIFS('300题规划'!$R$2:$R$301,A53)+COUNTIFS('300题规划'!$S$2:$S$301,A53)</x:f>
        <x:v>0</x:v>
      </x:c>
      <x:c r="K53" s="30" t="n">
        <x:f>COUNTIFS('300个模型'!$I$2:$I$301,A53)</x:f>
        <x:v>0</x:v>
      </x:c>
      <x:c r="L53" s="11" t="str">
        <x:v>不直接沿用按阈值拒绝；先明确物理语义、符号与可解性</x:v>
      </x:c>
      <x:c r="M53" s="11" t="str">
        <x:v>无附件</x:v>
      </x:c>
      <x:c r="N53" s="11" t="str">
        <x:v>未指定</x:v>
      </x:c>
    </x:row>
    <x:row r="54" ht="52.5" customHeight="1">
      <x:c r="A54" s="33" t="str">
        <x:v>beam-multi-turn-incomplete</x:v>
      </x:c>
      <x:c r="B54" s="6" t="str">
        <x:v>交互鲁棒性</x:v>
      </x:c>
      <x:c r="C54" s="6" t="str">
        <x:v>Missing beam parameters, then multi-turn completion and analysis</x:v>
      </x:c>
      <x:c r="D54" s="6" t="str">
        <x:v>L3</x:v>
      </x:c>
      <x:c r="E54" s="6" t="str">
        <x:v>英文</x:v>
      </x:c>
      <x:c r="F54" s="6" t="str">
        <x:v>text</x:v>
      </x:c>
      <x:c r="G54" s="6" t="n">
        <x:v>2</x:v>
      </x:c>
      <x:c r="H54" s="6" t="str">
        <x:v>beam-simple-6m</x:v>
      </x:c>
      <x:c r="I54" s="6" t="str">
        <x:v>G:/StructureClaw-All/structureclaw/tests/llm-benchmark/scenarios/interactive_robustness/beam-multi-turn-incomplete.json</x:v>
      </x:c>
      <x:c r="J54" s="30" t="n">
        <x:f>COUNTIFS('300题规划'!$R$2:$R$301,A54)+COUNTIFS('300题规划'!$S$2:$S$301,A54)</x:f>
        <x:v>1</x:v>
      </x:c>
      <x:c r="K54" s="30" t="n">
        <x:f>COUNTIFS('300个模型'!$I$2:$I$301,A54)</x:f>
        <x:v>0</x:v>
      </x:c>
      <x:c r="L54" s="6" t="str">
        <x:v>题面/交互/素材来源；每题独立建模并按新契约重验真值</x:v>
      </x:c>
      <x:c r="M54" s="6" t="str">
        <x:v>无附件</x:v>
      </x:c>
      <x:c r="N54" s="6" t="str">
        <x:v>未指定</x:v>
      </x:c>
    </x:row>
    <x:row r="55" ht="52.5" customHeight="1">
      <x:c r="A55" s="32" t="str">
        <x:v>error-frame-negative-dimensions</x:v>
      </x:c>
      <x:c r="B55" s="11" t="str">
        <x:v>交互鲁棒性</x:v>
      </x:c>
      <x:c r="C55" s="11" t="str">
        <x:v>框架负层高错误恢复</x:v>
      </x:c>
      <x:c r="D55" s="11" t="str">
        <x:v>L2</x:v>
      </x:c>
      <x:c r="E55" s="11" t="str">
        <x:v>中文</x:v>
      </x:c>
      <x:c r="F55" s="11" t="str">
        <x:v>text</x:v>
      </x:c>
      <x:c r="G55" s="11" t="n">
        <x:v>1</x:v>
      </x:c>
      <x:c r="H55" s="11" t="str">
        <x:v>无数值标答引用</x:v>
      </x:c>
      <x:c r="I55" s="11" t="str">
        <x:v>G:/StructureClaw-All/structureclaw/tests/llm-benchmark/scenarios/interactive_robustness/error-frame-negative-dimensions.json</x:v>
      </x:c>
      <x:c r="J55" s="30" t="n">
        <x:f>COUNTIFS('300题规划'!$R$2:$R$301,A55)+COUNTIFS('300题规划'!$S$2:$S$301,A55)</x:f>
        <x:v>1</x:v>
      </x:c>
      <x:c r="K55" s="30" t="n">
        <x:f>COUNTIFS('300个模型'!$I$2:$I$301,A55)</x:f>
        <x:v>0</x:v>
      </x:c>
      <x:c r="L55" s="11" t="str">
        <x:v>题面/交互/素材来源；每题独立建模并按新契约重验真值</x:v>
      </x:c>
      <x:c r="M55" s="11" t="str">
        <x:v>无附件</x:v>
      </x:c>
      <x:c r="N55" s="11" t="str">
        <x:v>未指定</x:v>
      </x:c>
    </x:row>
    <x:row r="56" ht="52.5" customHeight="1">
      <x:c r="A56" s="33" t="str">
        <x:v>error-vague-description</x:v>
      </x:c>
      <x:c r="B56" s="6" t="str">
        <x:v>交互鲁棒性</x:v>
      </x:c>
      <x:c r="C56" s="6" t="str">
        <x:v>模糊结构描述错误恢复</x:v>
      </x:c>
      <x:c r="D56" s="6" t="str">
        <x:v>L2</x:v>
      </x:c>
      <x:c r="E56" s="6" t="str">
        <x:v>中文</x:v>
      </x:c>
      <x:c r="F56" s="6" t="str">
        <x:v>text</x:v>
      </x:c>
      <x:c r="G56" s="6" t="n">
        <x:v>1</x:v>
      </x:c>
      <x:c r="H56" s="6" t="str">
        <x:v>无数值标答引用</x:v>
      </x:c>
      <x:c r="I56" s="6" t="str">
        <x:v>G:/StructureClaw-All/structureclaw/tests/llm-benchmark/scenarios/interactive_robustness/error-vague-description.json</x:v>
      </x:c>
      <x:c r="J56" s="30" t="n">
        <x:f>COUNTIFS('300题规划'!$R$2:$R$301,A56)+COUNTIFS('300题规划'!$S$2:$S$301,A56)</x:f>
        <x:v>0</x:v>
      </x:c>
      <x:c r="K56" s="30" t="n">
        <x:f>COUNTIFS('300个模型'!$I$2:$I$301,A56)</x:f>
        <x:v>0</x:v>
      </x:c>
      <x:c r="L56" s="6" t="str">
        <x:v>暂不直接引用；相近结构/输入样式已覆盖，可作后续素材备选</x:v>
      </x:c>
      <x:c r="M56" s="6" t="str">
        <x:v>无附件</x:v>
      </x:c>
      <x:c r="N56" s="6" t="str">
        <x:v>未指定</x:v>
      </x:c>
    </x:row>
    <x:row r="57" ht="52.5" customHeight="1">
      <x:c r="A57" s="32" t="str">
        <x:v>robust-beam-conflicting-supports</x:v>
      </x:c>
      <x:c r="B57" s="11" t="str">
        <x:v>交互鲁棒性</x:v>
      </x:c>
      <x:c r="C57" s="11" t="str">
        <x:v>Beam support condition conflict</x:v>
      </x:c>
      <x:c r="D57" s="11" t="str">
        <x:v>L3</x:v>
      </x:c>
      <x:c r="E57" s="11" t="str">
        <x:v>英文</x:v>
      </x:c>
      <x:c r="F57" s="11" t="str">
        <x:v>text</x:v>
      </x:c>
      <x:c r="G57" s="11" t="n">
        <x:v>1</x:v>
      </x:c>
      <x:c r="H57" s="11" t="str">
        <x:v>无数值标答引用</x:v>
      </x:c>
      <x:c r="I57" s="11" t="str">
        <x:v>G:/StructureClaw-All/structureclaw/tests/llm-benchmark/scenarios/interactive_robustness/robust-beam-conflicting-supports.json</x:v>
      </x:c>
      <x:c r="J57" s="30" t="n">
        <x:f>COUNTIFS('300题规划'!$R$2:$R$301,A57)+COUNTIFS('300题规划'!$S$2:$S$301,A57)</x:f>
        <x:v>1</x:v>
      </x:c>
      <x:c r="K57" s="30" t="n">
        <x:f>COUNTIFS('300个模型'!$I$2:$I$301,A57)</x:f>
        <x:v>0</x:v>
      </x:c>
      <x:c r="L57" s="11" t="str">
        <x:v>题面/交互/素材来源；每题独立建模并按新契约重验真值</x:v>
      </x:c>
      <x:c r="M57" s="11" t="str">
        <x:v>无附件</x:v>
      </x:c>
      <x:c r="N57" s="11" t="str">
        <x:v>未指定</x:v>
      </x:c>
    </x:row>
    <x:row r="58" ht="52.5" customHeight="1">
      <x:c r="A58" s="33" t="str">
        <x:v>robust-beam-missing-load</x:v>
      </x:c>
      <x:c r="B58" s="6" t="str">
        <x:v>交互鲁棒性</x:v>
      </x:c>
      <x:c r="C58" s="6" t="str">
        <x:v>Beam missing load information</x:v>
      </x:c>
      <x:c r="D58" s="6" t="str">
        <x:v>L2</x:v>
      </x:c>
      <x:c r="E58" s="6" t="str">
        <x:v>英文</x:v>
      </x:c>
      <x:c r="F58" s="6" t="str">
        <x:v>text</x:v>
      </x:c>
      <x:c r="G58" s="6" t="n">
        <x:v>1</x:v>
      </x:c>
      <x:c r="H58" s="6" t="str">
        <x:v>无数值标答引用</x:v>
      </x:c>
      <x:c r="I58" s="6" t="str">
        <x:v>G:/StructureClaw-All/structureclaw/tests/llm-benchmark/scenarios/interactive_robustness/robust-beam-missing-load.json</x:v>
      </x:c>
      <x:c r="J58" s="30" t="n">
        <x:f>COUNTIFS('300题规划'!$R$2:$R$301,A58)+COUNTIFS('300题规划'!$S$2:$S$301,A58)</x:f>
        <x:v>1</x:v>
      </x:c>
      <x:c r="K58" s="30" t="n">
        <x:f>COUNTIFS('300个模型'!$I$2:$I$301,A58)</x:f>
        <x:v>0</x:v>
      </x:c>
      <x:c r="L58" s="6" t="str">
        <x:v>题面/交互/素材来源；每题独立建模并按新契约重验真值</x:v>
      </x:c>
      <x:c r="M58" s="6" t="str">
        <x:v>无附件</x:v>
      </x:c>
      <x:c r="N58" s="6" t="str">
        <x:v>未指定</x:v>
      </x:c>
    </x:row>
    <x:row r="59" ht="52.5" customHeight="1">
      <x:c r="A59" s="32" t="str">
        <x:v>robust-beam-missing-span-load</x:v>
      </x:c>
      <x:c r="B59" s="11" t="str">
        <x:v>交互鲁棒性</x:v>
      </x:c>
      <x:c r="C59" s="11" t="str">
        <x:v>简支梁缺跨度和荷载</x:v>
      </x:c>
      <x:c r="D59" s="11" t="str">
        <x:v>L2</x:v>
      </x:c>
      <x:c r="E59" s="11" t="str">
        <x:v>中文</x:v>
      </x:c>
      <x:c r="F59" s="11" t="str">
        <x:v>text</x:v>
      </x:c>
      <x:c r="G59" s="11" t="n">
        <x:v>1</x:v>
      </x:c>
      <x:c r="H59" s="11" t="str">
        <x:v>无数值标答引用</x:v>
      </x:c>
      <x:c r="I59" s="11" t="str">
        <x:v>G:/StructureClaw-All/structureclaw/tests/llm-benchmark/scenarios/interactive_robustness/robust-beam-missing-span-load.json</x:v>
      </x:c>
      <x:c r="J59" s="30" t="n">
        <x:f>COUNTIFS('300题规划'!$R$2:$R$301,A59)+COUNTIFS('300题规划'!$S$2:$S$301,A59)</x:f>
        <x:v>0</x:v>
      </x:c>
      <x:c r="K59" s="30" t="n">
        <x:f>COUNTIFS('300个模型'!$I$2:$I$301,A59)</x:f>
        <x:v>0</x:v>
      </x:c>
      <x:c r="L59" s="11" t="str">
        <x:v>暂不直接引用；相近结构/输入样式已覆盖，可作后续素材备选</x:v>
      </x:c>
      <x:c r="M59" s="11" t="str">
        <x:v>无附件</x:v>
      </x:c>
      <x:c r="N59" s="11" t="str">
        <x:v>未指定</x:v>
      </x:c>
    </x:row>
    <x:row r="60" ht="52.5" customHeight="1">
      <x:c r="A60" s="33" t="str">
        <x:v>robust-beam-negative-span</x:v>
      </x:c>
      <x:c r="B60" s="6" t="str">
        <x:v>交互鲁棒性</x:v>
      </x:c>
      <x:c r="C60" s="6" t="str">
        <x:v>梁负跨度</x:v>
      </x:c>
      <x:c r="D60" s="6" t="str">
        <x:v>L2</x:v>
      </x:c>
      <x:c r="E60" s="6" t="str">
        <x:v>中文</x:v>
      </x:c>
      <x:c r="F60" s="6" t="str">
        <x:v>text</x:v>
      </x:c>
      <x:c r="G60" s="6" t="n">
        <x:v>1</x:v>
      </x:c>
      <x:c r="H60" s="6" t="str">
        <x:v>无数值标答引用</x:v>
      </x:c>
      <x:c r="I60" s="6" t="str">
        <x:v>G:/StructureClaw-All/structureclaw/tests/llm-benchmark/scenarios/interactive_robustness/robust-beam-negative-span.json</x:v>
      </x:c>
      <x:c r="J60" s="30" t="n">
        <x:f>COUNTIFS('300题规划'!$R$2:$R$301,A60)+COUNTIFS('300题规划'!$S$2:$S$301,A60)</x:f>
        <x:v>0</x:v>
      </x:c>
      <x:c r="K60" s="30" t="n">
        <x:f>COUNTIFS('300个模型'!$I$2:$I$301,A60)</x:f>
        <x:v>0</x:v>
      </x:c>
      <x:c r="L60" s="6" t="str">
        <x:v>不直接沿用按阈值拒绝；先明确物理语义、符号与可解性</x:v>
      </x:c>
      <x:c r="M60" s="6" t="str">
        <x:v>无附件</x:v>
      </x:c>
      <x:c r="N60" s="6" t="str">
        <x:v>未指定</x:v>
      </x:c>
    </x:row>
    <x:row r="61" ht="52.5" customHeight="1">
      <x:c r="A61" s="32" t="str">
        <x:v>robust-beam-unit-ambiguity-load</x:v>
      </x:c>
      <x:c r="B61" s="11" t="str">
        <x:v>交互鲁棒性</x:v>
      </x:c>
      <x:c r="C61" s="11" t="str">
        <x:v>Beam load unit ambiguity</x:v>
      </x:c>
      <x:c r="D61" s="11" t="str">
        <x:v>L2</x:v>
      </x:c>
      <x:c r="E61" s="11" t="str">
        <x:v>英文</x:v>
      </x:c>
      <x:c r="F61" s="11" t="str">
        <x:v>text</x:v>
      </x:c>
      <x:c r="G61" s="11" t="n">
        <x:v>1</x:v>
      </x:c>
      <x:c r="H61" s="11" t="str">
        <x:v>无数值标答引用</x:v>
      </x:c>
      <x:c r="I61" s="11" t="str">
        <x:v>G:/StructureClaw-All/structureclaw/tests/llm-benchmark/scenarios/interactive_robustness/robust-beam-unit-ambiguity-load.json</x:v>
      </x:c>
      <x:c r="J61" s="30" t="n">
        <x:f>COUNTIFS('300题规划'!$R$2:$R$301,A61)+COUNTIFS('300题规划'!$S$2:$S$301,A61)</x:f>
        <x:v>1</x:v>
      </x:c>
      <x:c r="K61" s="30" t="n">
        <x:f>COUNTIFS('300个模型'!$I$2:$I$301,A61)</x:f>
        <x:v>0</x:v>
      </x:c>
      <x:c r="L61" s="11" t="str">
        <x:v>题面/交互/素材来源；每题独立建模并按新契约重验真值</x:v>
      </x:c>
      <x:c r="M61" s="11" t="str">
        <x:v>无附件</x:v>
      </x:c>
      <x:c r="N61" s="11" t="str">
        <x:v>未指定</x:v>
      </x:c>
    </x:row>
    <x:row r="62" ht="52.5" customHeight="1">
      <x:c r="A62" s="33" t="str">
        <x:v>robust-beam-unrealistic-length-section</x:v>
      </x:c>
      <x:c r="B62" s="6" t="str">
        <x:v>交互鲁棒性</x:v>
      </x:c>
      <x:c r="C62" s="6" t="str">
        <x:v>梁超大跨度超小截面</x:v>
      </x:c>
      <x:c r="D62" s="6" t="str">
        <x:v>L2</x:v>
      </x:c>
      <x:c r="E62" s="6" t="str">
        <x:v>中文</x:v>
      </x:c>
      <x:c r="F62" s="6" t="str">
        <x:v>text</x:v>
      </x:c>
      <x:c r="G62" s="6" t="n">
        <x:v>1</x:v>
      </x:c>
      <x:c r="H62" s="6" t="str">
        <x:v>无数值标答引用</x:v>
      </x:c>
      <x:c r="I62" s="6" t="str">
        <x:v>G:/StructureClaw-All/structureclaw/tests/llm-benchmark/scenarios/interactive_robustness/robust-beam-unrealistic-length-section.json</x:v>
      </x:c>
      <x:c r="J62" s="30" t="n">
        <x:f>COUNTIFS('300题规划'!$R$2:$R$301,A62)+COUNTIFS('300题规划'!$S$2:$S$301,A62)</x:f>
        <x:v>0</x:v>
      </x:c>
      <x:c r="K62" s="30" t="n">
        <x:f>COUNTIFS('300个模型'!$I$2:$I$301,A62)</x:f>
        <x:v>0</x:v>
      </x:c>
      <x:c r="L62" s="6" t="str">
        <x:v>不直接沿用按阈值拒绝；先明确物理语义、符号与可解性</x:v>
      </x:c>
      <x:c r="M62" s="6" t="str">
        <x:v>无附件</x:v>
      </x:c>
      <x:c r="N62" s="6" t="str">
        <x:v>未指定</x:v>
      </x:c>
    </x:row>
    <x:row r="63" ht="52.5" customHeight="1">
      <x:c r="A63" s="32" t="str">
        <x:v>robust-beam-unrealistic-load</x:v>
      </x:c>
      <x:c r="B63" s="11" t="str">
        <x:v>交互鲁棒性</x:v>
      </x:c>
      <x:c r="C63" s="11" t="str">
        <x:v>Beam with extreme load value</x:v>
      </x:c>
      <x:c r="D63" s="11" t="str">
        <x:v>L2</x:v>
      </x:c>
      <x:c r="E63" s="11" t="str">
        <x:v>英文</x:v>
      </x:c>
      <x:c r="F63" s="11" t="str">
        <x:v>text</x:v>
      </x:c>
      <x:c r="G63" s="11" t="n">
        <x:v>1</x:v>
      </x:c>
      <x:c r="H63" s="11" t="str">
        <x:v>无数值标答引用</x:v>
      </x:c>
      <x:c r="I63" s="11" t="str">
        <x:v>G:/StructureClaw-All/structureclaw/tests/llm-benchmark/scenarios/interactive_robustness/robust-beam-unrealistic-load.json</x:v>
      </x:c>
      <x:c r="J63" s="30" t="n">
        <x:f>COUNTIFS('300题规划'!$R$2:$R$301,A63)+COUNTIFS('300题规划'!$S$2:$S$301,A63)</x:f>
        <x:v>0</x:v>
      </x:c>
      <x:c r="K63" s="30" t="n">
        <x:f>COUNTIFS('300个模型'!$I$2:$I$301,A63)</x:f>
        <x:v>0</x:v>
      </x:c>
      <x:c r="L63" s="11" t="str">
        <x:v>不直接沿用按阈值拒绝；先明确物理语义、符号与可解性</x:v>
      </x:c>
      <x:c r="M63" s="11" t="str">
        <x:v>无附件</x:v>
      </x:c>
      <x:c r="N63" s="11" t="str">
        <x:v>未指定</x:v>
      </x:c>
    </x:row>
    <x:row r="64" ht="52.5" customHeight="1">
      <x:c r="A64" s="33" t="str">
        <x:v>robust-beam-zero-load-width</x:v>
      </x:c>
      <x:c r="B64" s="6" t="str">
        <x:v>交互鲁棒性</x:v>
      </x:c>
      <x:c r="C64" s="6" t="str">
        <x:v>梁零截面宽度</x:v>
      </x:c>
      <x:c r="D64" s="6" t="str">
        <x:v>L2</x:v>
      </x:c>
      <x:c r="E64" s="6" t="str">
        <x:v>中文</x:v>
      </x:c>
      <x:c r="F64" s="6" t="str">
        <x:v>text</x:v>
      </x:c>
      <x:c r="G64" s="6" t="n">
        <x:v>1</x:v>
      </x:c>
      <x:c r="H64" s="6" t="str">
        <x:v>无数值标答引用</x:v>
      </x:c>
      <x:c r="I64" s="6" t="str">
        <x:v>G:/StructureClaw-All/structureclaw/tests/llm-benchmark/scenarios/interactive_robustness/robust-beam-zero-load-width.json</x:v>
      </x:c>
      <x:c r="J64" s="30" t="n">
        <x:f>COUNTIFS('300题规划'!$R$2:$R$301,A64)+COUNTIFS('300题规划'!$S$2:$S$301,A64)</x:f>
        <x:v>0</x:v>
      </x:c>
      <x:c r="K64" s="30" t="n">
        <x:f>COUNTIFS('300个模型'!$I$2:$I$301,A64)</x:f>
        <x:v>0</x:v>
      </x:c>
      <x:c r="L64" s="6" t="str">
        <x:v>不直接沿用按阈值拒绝；先明确物理语义、符号与可解性</x:v>
      </x:c>
      <x:c r="M64" s="6" t="str">
        <x:v>无附件</x:v>
      </x:c>
      <x:c r="N64" s="6" t="str">
        <x:v>未指定</x:v>
      </x:c>
    </x:row>
    <x:row r="65" ht="52.5" customHeight="1">
      <x:c r="A65" s="32" t="str">
        <x:v>robust-column-unrealistic-slender</x:v>
      </x:c>
      <x:c r="B65" s="11" t="str">
        <x:v>交互鲁棒性</x:v>
      </x:c>
      <x:c r="C65" s="11" t="str">
        <x:v>Column with extreme slenderness</x:v>
      </x:c>
      <x:c r="D65" s="11" t="str">
        <x:v>L2</x:v>
      </x:c>
      <x:c r="E65" s="11" t="str">
        <x:v>英文</x:v>
      </x:c>
      <x:c r="F65" s="11" t="str">
        <x:v>text</x:v>
      </x:c>
      <x:c r="G65" s="11" t="n">
        <x:v>1</x:v>
      </x:c>
      <x:c r="H65" s="11" t="str">
        <x:v>无数值标答引用</x:v>
      </x:c>
      <x:c r="I65" s="11" t="str">
        <x:v>G:/StructureClaw-All/structureclaw/tests/llm-benchmark/scenarios/interactive_robustness/robust-column-unrealistic-slender.json</x:v>
      </x:c>
      <x:c r="J65" s="30" t="n">
        <x:f>COUNTIFS('300题规划'!$R$2:$R$301,A65)+COUNTIFS('300题规划'!$S$2:$S$301,A65)</x:f>
        <x:v>0</x:v>
      </x:c>
      <x:c r="K65" s="30" t="n">
        <x:f>COUNTIFS('300个模型'!$I$2:$I$301,A65)</x:f>
        <x:v>0</x:v>
      </x:c>
      <x:c r="L65" s="11" t="str">
        <x:v>不直接沿用按阈值拒绝；先明确物理语义、符号与可解性</x:v>
      </x:c>
      <x:c r="M65" s="11" t="str">
        <x:v>无附件</x:v>
      </x:c>
      <x:c r="N65" s="11" t="str">
        <x:v>未指定</x:v>
      </x:c>
    </x:row>
    <x:row r="66" ht="52.5" customHeight="1">
      <x:c r="A66" s="33" t="str">
        <x:v>robust-column-zero-height</x:v>
      </x:c>
      <x:c r="B66" s="6" t="str">
        <x:v>交互鲁棒性</x:v>
      </x:c>
      <x:c r="C66" s="6" t="str">
        <x:v>柱高度为零</x:v>
      </x:c>
      <x:c r="D66" s="6" t="str">
        <x:v>L2</x:v>
      </x:c>
      <x:c r="E66" s="6" t="str">
        <x:v>中文</x:v>
      </x:c>
      <x:c r="F66" s="6" t="str">
        <x:v>text</x:v>
      </x:c>
      <x:c r="G66" s="6" t="n">
        <x:v>1</x:v>
      </x:c>
      <x:c r="H66" s="6" t="str">
        <x:v>无数值标答引用</x:v>
      </x:c>
      <x:c r="I66" s="6" t="str">
        <x:v>G:/StructureClaw-All/structureclaw/tests/llm-benchmark/scenarios/interactive_robustness/robust-column-zero-height.json</x:v>
      </x:c>
      <x:c r="J66" s="30" t="n">
        <x:f>COUNTIFS('300题规划'!$R$2:$R$301,A66)+COUNTIFS('300题规划'!$S$2:$S$301,A66)</x:f>
        <x:v>1</x:v>
      </x:c>
      <x:c r="K66" s="30" t="n">
        <x:f>COUNTIFS('300个模型'!$I$2:$I$301,A66)</x:f>
        <x:v>0</x:v>
      </x:c>
      <x:c r="L66" s="6" t="str">
        <x:v>题面/交互/素材来源；每题独立建模并按新契约重验真值</x:v>
      </x:c>
      <x:c r="M66" s="6" t="str">
        <x:v>无附件</x:v>
      </x:c>
      <x:c r="N66" s="6" t="str">
        <x:v>未指定</x:v>
      </x:c>
    </x:row>
    <x:row r="67" ht="52.5" customHeight="1">
      <x:c r="A67" s="32" t="str">
        <x:v>robust-concrete-conflicting-dimension</x:v>
      </x:c>
      <x:c r="B67" s="11" t="str">
        <x:v>交互鲁棒性</x:v>
      </x:c>
      <x:c r="C67" s="11" t="str">
        <x:v>混凝土框架维度冲突</x:v>
      </x:c>
      <x:c r="D67" s="11" t="str">
        <x:v>L3</x:v>
      </x:c>
      <x:c r="E67" s="11" t="str">
        <x:v>中文</x:v>
      </x:c>
      <x:c r="F67" s="11" t="str">
        <x:v>text</x:v>
      </x:c>
      <x:c r="G67" s="11" t="n">
        <x:v>1</x:v>
      </x:c>
      <x:c r="H67" s="11" t="str">
        <x:v>无数值标答引用</x:v>
      </x:c>
      <x:c r="I67" s="11" t="str">
        <x:v>G:/StructureClaw-All/structureclaw/tests/llm-benchmark/scenarios/interactive_robustness/robust-concrete-conflicting-dimension.json</x:v>
      </x:c>
      <x:c r="J67" s="30" t="n">
        <x:f>COUNTIFS('300题规划'!$R$2:$R$301,A67)+COUNTIFS('300题规划'!$S$2:$S$301,A67)</x:f>
        <x:v>1</x:v>
      </x:c>
      <x:c r="K67" s="30" t="n">
        <x:f>COUNTIFS('300个模型'!$I$2:$I$301,A67)</x:f>
        <x:v>0</x:v>
      </x:c>
      <x:c r="L67" s="11" t="str">
        <x:v>题面/交互/素材来源；每题独立建模并按新契约重验真值</x:v>
      </x:c>
      <x:c r="M67" s="11" t="str">
        <x:v>无附件</x:v>
      </x:c>
      <x:c r="N67" s="11" t="str">
        <x:v>未指定</x:v>
      </x:c>
    </x:row>
    <x:row r="68" ht="52.5" customHeight="1">
      <x:c r="A68" s="33" t="str">
        <x:v>robust-concrete-frame-missing-material</x:v>
      </x:c>
      <x:c r="B68" s="6" t="str">
        <x:v>交互鲁棒性</x:v>
      </x:c>
      <x:c r="C68" s="6" t="str">
        <x:v>Concrete frame missing material and load information</x:v>
      </x:c>
      <x:c r="D68" s="6" t="str">
        <x:v>L2</x:v>
      </x:c>
      <x:c r="E68" s="6" t="str">
        <x:v>英文</x:v>
      </x:c>
      <x:c r="F68" s="6" t="str">
        <x:v>text</x:v>
      </x:c>
      <x:c r="G68" s="6" t="n">
        <x:v>1</x:v>
      </x:c>
      <x:c r="H68" s="6" t="str">
        <x:v>无数值标答引用</x:v>
      </x:c>
      <x:c r="I68" s="6" t="str">
        <x:v>G:/StructureClaw-All/structureclaw/tests/llm-benchmark/scenarios/interactive_robustness/robust-concrete-frame-missing-material.json</x:v>
      </x:c>
      <x:c r="J68" s="30" t="n">
        <x:f>COUNTIFS('300题规划'!$R$2:$R$301,A68)+COUNTIFS('300题规划'!$S$2:$S$301,A68)</x:f>
        <x:v>1</x:v>
      </x:c>
      <x:c r="K68" s="30" t="n">
        <x:f>COUNTIFS('300个模型'!$I$2:$I$301,A68)</x:f>
        <x:v>0</x:v>
      </x:c>
      <x:c r="L68" s="6" t="str">
        <x:v>题面/交互/素材来源；每题独立建模并按新契约重验真值</x:v>
      </x:c>
      <x:c r="M68" s="6" t="str">
        <x:v>无附件</x:v>
      </x:c>
      <x:c r="N68" s="6" t="str">
        <x:v>未指定</x:v>
      </x:c>
    </x:row>
    <x:row r="69" ht="52.5" customHeight="1">
      <x:c r="A69" s="32" t="str">
        <x:v>robust-concrete-frame-zero-bays</x:v>
      </x:c>
      <x:c r="B69" s="11" t="str">
        <x:v>交互鲁棒性</x:v>
      </x:c>
      <x:c r="C69" s="11" t="str">
        <x:v>混凝土框架零跨</x:v>
      </x:c>
      <x:c r="D69" s="11" t="str">
        <x:v>L2</x:v>
      </x:c>
      <x:c r="E69" s="11" t="str">
        <x:v>中文</x:v>
      </x:c>
      <x:c r="F69" s="11" t="str">
        <x:v>text</x:v>
      </x:c>
      <x:c r="G69" s="11" t="n">
        <x:v>1</x:v>
      </x:c>
      <x:c r="H69" s="11" t="str">
        <x:v>无数值标答引用</x:v>
      </x:c>
      <x:c r="I69" s="11" t="str">
        <x:v>G:/StructureClaw-All/structureclaw/tests/llm-benchmark/scenarios/interactive_robustness/robust-concrete-frame-zero-bays.json</x:v>
      </x:c>
      <x:c r="J69" s="30" t="n">
        <x:f>COUNTIFS('300题规划'!$R$2:$R$301,A69)+COUNTIFS('300题规划'!$S$2:$S$301,A69)</x:f>
        <x:v>0</x:v>
      </x:c>
      <x:c r="K69" s="30" t="n">
        <x:f>COUNTIFS('300个模型'!$I$2:$I$301,A69)</x:f>
        <x:v>0</x:v>
      </x:c>
      <x:c r="L69" s="11" t="str">
        <x:v>不直接沿用按阈值拒绝；先明确物理语义、符号与可解性</x:v>
      </x:c>
      <x:c r="M69" s="11" t="str">
        <x:v>无附件</x:v>
      </x:c>
      <x:c r="N69" s="11" t="str">
        <x:v>未指定</x:v>
      </x:c>
    </x:row>
    <x:row r="70" ht="52.5" customHeight="1">
      <x:c r="A70" s="33" t="str">
        <x:v>robust-concrete-unrealistic-material</x:v>
      </x:c>
      <x:c r="B70" s="6" t="str">
        <x:v>交互鲁棒性</x:v>
      </x:c>
      <x:c r="C70" s="6" t="str">
        <x:v>Concrete frame with unrealistic material grade</x:v>
      </x:c>
      <x:c r="D70" s="6" t="str">
        <x:v>L2</x:v>
      </x:c>
      <x:c r="E70" s="6" t="str">
        <x:v>英文</x:v>
      </x:c>
      <x:c r="F70" s="6" t="str">
        <x:v>text</x:v>
      </x:c>
      <x:c r="G70" s="6" t="n">
        <x:v>1</x:v>
      </x:c>
      <x:c r="H70" s="6" t="str">
        <x:v>无数值标答引用</x:v>
      </x:c>
      <x:c r="I70" s="6" t="str">
        <x:v>G:/StructureClaw-All/structureclaw/tests/llm-benchmark/scenarios/interactive_robustness/robust-concrete-unrealistic-material.json</x:v>
      </x:c>
      <x:c r="J70" s="30" t="n">
        <x:f>COUNTIFS('300题规划'!$R$2:$R$301,A70)+COUNTIFS('300题规划'!$S$2:$S$301,A70)</x:f>
        <x:v>0</x:v>
      </x:c>
      <x:c r="K70" s="30" t="n">
        <x:f>COUNTIFS('300个模型'!$I$2:$I$301,A70)</x:f>
        <x:v>0</x:v>
      </x:c>
      <x:c r="L70" s="6" t="str">
        <x:v>不直接沿用按阈值拒绝；先明确物理语义、符号与可解性</x:v>
      </x:c>
      <x:c r="M70" s="6" t="str">
        <x:v>无附件</x:v>
      </x:c>
      <x:c r="N70" s="6" t="str">
        <x:v>未指定</x:v>
      </x:c>
    </x:row>
    <x:row r="71" ht="52.5" customHeight="1">
      <x:c r="A71" s="32" t="str">
        <x:v>robust-dspan-missing-second-span</x:v>
      </x:c>
      <x:c r="B71" s="11" t="str">
        <x:v>交互鲁棒性</x:v>
      </x:c>
      <x:c r="C71" s="11" t="str">
        <x:v>Continuous beam missing second span</x:v>
      </x:c>
      <x:c r="D71" s="11" t="str">
        <x:v>L2</x:v>
      </x:c>
      <x:c r="E71" s="11" t="str">
        <x:v>英文</x:v>
      </x:c>
      <x:c r="F71" s="11" t="str">
        <x:v>text</x:v>
      </x:c>
      <x:c r="G71" s="11" t="n">
        <x:v>1</x:v>
      </x:c>
      <x:c r="H71" s="11" t="str">
        <x:v>无数值标答引用</x:v>
      </x:c>
      <x:c r="I71" s="11" t="str">
        <x:v>G:/StructureClaw-All/structureclaw/tests/llm-benchmark/scenarios/interactive_robustness/robust-dspan-missing-second-span.json</x:v>
      </x:c>
      <x:c r="J71" s="30" t="n">
        <x:f>COUNTIFS('300题规划'!$R$2:$R$301,A71)+COUNTIFS('300题规划'!$S$2:$S$301,A71)</x:f>
        <x:v>1</x:v>
      </x:c>
      <x:c r="K71" s="30" t="n">
        <x:f>COUNTIFS('300个模型'!$I$2:$I$301,A71)</x:f>
        <x:v>0</x:v>
      </x:c>
      <x:c r="L71" s="11" t="str">
        <x:v>题面/交互/素材来源；每题独立建模并按新契约重验真值</x:v>
      </x:c>
      <x:c r="M71" s="11" t="str">
        <x:v>无附件</x:v>
      </x:c>
      <x:c r="N71" s="11" t="str">
        <x:v>未指定</x:v>
      </x:c>
    </x:row>
    <x:row r="72" ht="52.5" customHeight="1">
      <x:c r="A72" s="33" t="str">
        <x:v>robust-dspan-negative-span</x:v>
      </x:c>
      <x:c r="B72" s="6" t="str">
        <x:v>交互鲁棒性</x:v>
      </x:c>
      <x:c r="C72" s="6" t="str">
        <x:v>连续梁第二跨负值</x:v>
      </x:c>
      <x:c r="D72" s="6" t="str">
        <x:v>L2</x:v>
      </x:c>
      <x:c r="E72" s="6" t="str">
        <x:v>中文</x:v>
      </x:c>
      <x:c r="F72" s="6" t="str">
        <x:v>text</x:v>
      </x:c>
      <x:c r="G72" s="6" t="n">
        <x:v>1</x:v>
      </x:c>
      <x:c r="H72" s="6" t="str">
        <x:v>无数值标答引用</x:v>
      </x:c>
      <x:c r="I72" s="6" t="str">
        <x:v>G:/StructureClaw-All/structureclaw/tests/llm-benchmark/scenarios/interactive_robustness/robust-dspan-negative-span.json</x:v>
      </x:c>
      <x:c r="J72" s="30" t="n">
        <x:f>COUNTIFS('300题规划'!$R$2:$R$301,A72)+COUNTIFS('300题规划'!$S$2:$S$301,A72)</x:f>
        <x:v>1</x:v>
      </x:c>
      <x:c r="K72" s="30" t="n">
        <x:f>COUNTIFS('300个模型'!$I$2:$I$301,A72)</x:f>
        <x:v>0</x:v>
      </x:c>
      <x:c r="L72" s="6" t="str">
        <x:v>题面/交互/素材来源；每题独立建模并按新契约重验真值</x:v>
      </x:c>
      <x:c r="M72" s="6" t="str">
        <x:v>无附件</x:v>
      </x:c>
      <x:c r="N72" s="6" t="str">
        <x:v>未指定</x:v>
      </x:c>
    </x:row>
    <x:row r="73" ht="52.5" customHeight="1">
      <x:c r="A73" s="32" t="str">
        <x:v>robust-frame-conflicting-material</x:v>
      </x:c>
      <x:c r="B73" s="11" t="str">
        <x:v>交互鲁棒性</x:v>
      </x:c>
      <x:c r="C73" s="11" t="str">
        <x:v>Steel frame with conflicting material description</x:v>
      </x:c>
      <x:c r="D73" s="11" t="str">
        <x:v>L3</x:v>
      </x:c>
      <x:c r="E73" s="11" t="str">
        <x:v>英文</x:v>
      </x:c>
      <x:c r="F73" s="11" t="str">
        <x:v>text</x:v>
      </x:c>
      <x:c r="G73" s="11" t="n">
        <x:v>1</x:v>
      </x:c>
      <x:c r="H73" s="11" t="str">
        <x:v>无数值标答引用</x:v>
      </x:c>
      <x:c r="I73" s="11" t="str">
        <x:v>G:/StructureClaw-All/structureclaw/tests/llm-benchmark/scenarios/interactive_robustness/robust-frame-conflicting-material.json</x:v>
      </x:c>
      <x:c r="J73" s="30" t="n">
        <x:f>COUNTIFS('300题规划'!$R$2:$R$301,A73)+COUNTIFS('300题规划'!$S$2:$S$301,A73)</x:f>
        <x:v>1</x:v>
      </x:c>
      <x:c r="K73" s="30" t="n">
        <x:f>COUNTIFS('300个模型'!$I$2:$I$301,A73)</x:f>
        <x:v>0</x:v>
      </x:c>
      <x:c r="L73" s="11" t="str">
        <x:v>题面/交互/素材来源；每题独立建模并按新契约重验真值</x:v>
      </x:c>
      <x:c r="M73" s="11" t="str">
        <x:v>无附件</x:v>
      </x:c>
      <x:c r="N73" s="11" t="str">
        <x:v>未指定</x:v>
      </x:c>
    </x:row>
    <x:row r="74" ht="52.5" customHeight="1">
      <x:c r="A74" s="33" t="str">
        <x:v>robust-frame-missing-bays</x:v>
      </x:c>
      <x:c r="B74" s="6" t="str">
        <x:v>交互鲁棒性</x:v>
      </x:c>
      <x:c r="C74" s="6" t="str">
        <x:v>Steel frame missing bay count and load information</x:v>
      </x:c>
      <x:c r="D74" s="6" t="str">
        <x:v>L2</x:v>
      </x:c>
      <x:c r="E74" s="6" t="str">
        <x:v>英文</x:v>
      </x:c>
      <x:c r="F74" s="6" t="str">
        <x:v>text</x:v>
      </x:c>
      <x:c r="G74" s="6" t="n">
        <x:v>1</x:v>
      </x:c>
      <x:c r="H74" s="6" t="str">
        <x:v>无数值标答引用</x:v>
      </x:c>
      <x:c r="I74" s="6" t="str">
        <x:v>G:/StructureClaw-All/structureclaw/tests/llm-benchmark/scenarios/interactive_robustness/robust-frame-missing-bays.json</x:v>
      </x:c>
      <x:c r="J74" s="30" t="n">
        <x:f>COUNTIFS('300题规划'!$R$2:$R$301,A74)+COUNTIFS('300题规划'!$S$2:$S$301,A74)</x:f>
        <x:v>1</x:v>
      </x:c>
      <x:c r="K74" s="30" t="n">
        <x:f>COUNTIFS('300个模型'!$I$2:$I$301,A74)</x:f>
        <x:v>0</x:v>
      </x:c>
      <x:c r="L74" s="6" t="str">
        <x:v>题面/交互/素材来源；每题独立建模并按新契约重验真值</x:v>
      </x:c>
      <x:c r="M74" s="6" t="str">
        <x:v>无附件</x:v>
      </x:c>
      <x:c r="N74" s="6" t="str">
        <x:v>未指定</x:v>
      </x:c>
    </x:row>
    <x:row r="75" ht="52.5" customHeight="1">
      <x:c r="A75" s="32" t="str">
        <x:v>robust-frame-negative-story-height</x:v>
      </x:c>
      <x:c r="B75" s="11" t="str">
        <x:v>交互鲁棒性</x:v>
      </x:c>
      <x:c r="C75" s="11" t="str">
        <x:v>框架负层高</x:v>
      </x:c>
      <x:c r="D75" s="11" t="str">
        <x:v>L2</x:v>
      </x:c>
      <x:c r="E75" s="11" t="str">
        <x:v>中文</x:v>
      </x:c>
      <x:c r="F75" s="11" t="str">
        <x:v>text</x:v>
      </x:c>
      <x:c r="G75" s="11" t="n">
        <x:v>1</x:v>
      </x:c>
      <x:c r="H75" s="11" t="str">
        <x:v>无数值标答引用</x:v>
      </x:c>
      <x:c r="I75" s="11" t="str">
        <x:v>G:/StructureClaw-All/structureclaw/tests/llm-benchmark/scenarios/interactive_robustness/robust-frame-negative-story-height.json</x:v>
      </x:c>
      <x:c r="J75" s="30" t="n">
        <x:f>COUNTIFS('300题规划'!$R$2:$R$301,A75)+COUNTIFS('300题规划'!$S$2:$S$301,A75)</x:f>
        <x:v>0</x:v>
      </x:c>
      <x:c r="K75" s="30" t="n">
        <x:f>COUNTIFS('300个模型'!$I$2:$I$301,A75)</x:f>
        <x:v>0</x:v>
      </x:c>
      <x:c r="L75" s="11" t="str">
        <x:v>不直接沿用按阈值拒绝；先明确物理语义、符号与可解性</x:v>
      </x:c>
      <x:c r="M75" s="11" t="str">
        <x:v>无附件</x:v>
      </x:c>
      <x:c r="N75" s="11" t="str">
        <x:v>未指定</x:v>
      </x:c>
    </x:row>
    <x:row r="76" ht="52.5" customHeight="1">
      <x:c r="A76" s="33" t="str">
        <x:v>robust-frame-unit-area-line-load</x:v>
      </x:c>
      <x:c r="B76" s="6" t="str">
        <x:v>交互鲁棒性</x:v>
      </x:c>
      <x:c r="C76" s="6" t="str">
        <x:v>Frame load unit ambiguity between area and line load</x:v>
      </x:c>
      <x:c r="D76" s="6" t="str">
        <x:v>L2</x:v>
      </x:c>
      <x:c r="E76" s="6" t="str">
        <x:v>英文</x:v>
      </x:c>
      <x:c r="F76" s="6" t="str">
        <x:v>text</x:v>
      </x:c>
      <x:c r="G76" s="6" t="n">
        <x:v>1</x:v>
      </x:c>
      <x:c r="H76" s="6" t="str">
        <x:v>无数值标答引用</x:v>
      </x:c>
      <x:c r="I76" s="6" t="str">
        <x:v>G:/StructureClaw-All/structureclaw/tests/llm-benchmark/scenarios/interactive_robustness/robust-frame-unit-area-line-load.json</x:v>
      </x:c>
      <x:c r="J76" s="30" t="n">
        <x:f>COUNTIFS('300题规划'!$R$2:$R$301,A76)+COUNTIFS('300题规划'!$S$2:$S$301,A76)</x:f>
        <x:v>1</x:v>
      </x:c>
      <x:c r="K76" s="30" t="n">
        <x:f>COUNTIFS('300个模型'!$I$2:$I$301,A76)</x:f>
        <x:v>0</x:v>
      </x:c>
      <x:c r="L76" s="6" t="str">
        <x:v>题面/交互/素材来源；每题独立建模并按新契约重验真值</x:v>
      </x:c>
      <x:c r="M76" s="6" t="str">
        <x:v>无附件</x:v>
      </x:c>
      <x:c r="N76" s="6" t="str">
        <x:v>未指定</x:v>
      </x:c>
    </x:row>
    <x:row r="77" ht="52.5" customHeight="1">
      <x:c r="A77" s="32" t="str">
        <x:v>robust-frame-unrealistic-bays</x:v>
      </x:c>
      <x:c r="B77" s="11" t="str">
        <x:v>交互鲁棒性</x:v>
      </x:c>
      <x:c r="C77" s="11" t="str">
        <x:v>框架跨数极端</x:v>
      </x:c>
      <x:c r="D77" s="11" t="str">
        <x:v>L2</x:v>
      </x:c>
      <x:c r="E77" s="11" t="str">
        <x:v>中文</x:v>
      </x:c>
      <x:c r="F77" s="11" t="str">
        <x:v>text</x:v>
      </x:c>
      <x:c r="G77" s="11" t="n">
        <x:v>1</x:v>
      </x:c>
      <x:c r="H77" s="11" t="str">
        <x:v>无数值标答引用</x:v>
      </x:c>
      <x:c r="I77" s="11" t="str">
        <x:v>G:/StructureClaw-All/structureclaw/tests/llm-benchmark/scenarios/interactive_robustness/robust-frame-unrealistic-bays.json</x:v>
      </x:c>
      <x:c r="J77" s="30" t="n">
        <x:f>COUNTIFS('300题规划'!$R$2:$R$301,A77)+COUNTIFS('300题规划'!$S$2:$S$301,A77)</x:f>
        <x:v>0</x:v>
      </x:c>
      <x:c r="K77" s="30" t="n">
        <x:f>COUNTIFS('300个模型'!$I$2:$I$301,A77)</x:f>
        <x:v>0</x:v>
      </x:c>
      <x:c r="L77" s="11" t="str">
        <x:v>不直接沿用按阈值拒绝；先明确物理语义、符号与可解性</x:v>
      </x:c>
      <x:c r="M77" s="11" t="str">
        <x:v>无附件</x:v>
      </x:c>
      <x:c r="N77" s="11" t="str">
        <x:v>未指定</x:v>
      </x:c>
    </x:row>
    <x:row r="78" ht="52.5" customHeight="1">
      <x:c r="A78" s="33" t="str">
        <x:v>robust-frame-unrealistic-height</x:v>
      </x:c>
      <x:c r="B78" s="6" t="str">
        <x:v>交互鲁棒性</x:v>
      </x:c>
      <x:c r="C78" s="6" t="str">
        <x:v>Single-story steel frame with unrealistic height and loads</x:v>
      </x:c>
      <x:c r="D78" s="6" t="str">
        <x:v>L2</x:v>
      </x:c>
      <x:c r="E78" s="6" t="str">
        <x:v>英文</x:v>
      </x:c>
      <x:c r="F78" s="6" t="str">
        <x:v>text</x:v>
      </x:c>
      <x:c r="G78" s="6" t="n">
        <x:v>1</x:v>
      </x:c>
      <x:c r="H78" s="6" t="str">
        <x:v>无数值标答引用</x:v>
      </x:c>
      <x:c r="I78" s="6" t="str">
        <x:v>G:/StructureClaw-All/structureclaw/tests/llm-benchmark/scenarios/interactive_robustness/robust-frame-unrealistic-height.json</x:v>
      </x:c>
      <x:c r="J78" s="30" t="n">
        <x:f>COUNTIFS('300题规划'!$R$2:$R$301,A78)+COUNTIFS('300题规划'!$S$2:$S$301,A78)</x:f>
        <x:v>0</x:v>
      </x:c>
      <x:c r="K78" s="30" t="n">
        <x:f>COUNTIFS('300个模型'!$I$2:$I$301,A78)</x:f>
        <x:v>0</x:v>
      </x:c>
      <x:c r="L78" s="6" t="str">
        <x:v>不直接沿用按阈值拒绝；先明确物理语义、符号与可解性</x:v>
      </x:c>
      <x:c r="M78" s="6" t="str">
        <x:v>无附件</x:v>
      </x:c>
      <x:c r="N78" s="6" t="str">
        <x:v>未指定</x:v>
      </x:c>
    </x:row>
    <x:row r="79" ht="52.5" customHeight="1">
      <x:c r="A79" s="32" t="str">
        <x:v>robust-generic-too-vague</x:v>
      </x:c>
      <x:c r="B79" s="11" t="str">
        <x:v>交互鲁棒性</x:v>
      </x:c>
      <x:c r="C79" s="11" t="str">
        <x:v>Generic structural request is too vague</x:v>
      </x:c>
      <x:c r="D79" s="11" t="str">
        <x:v>L2</x:v>
      </x:c>
      <x:c r="E79" s="11" t="str">
        <x:v>英文</x:v>
      </x:c>
      <x:c r="F79" s="11" t="str">
        <x:v>text</x:v>
      </x:c>
      <x:c r="G79" s="11" t="n">
        <x:v>1</x:v>
      </x:c>
      <x:c r="H79" s="11" t="str">
        <x:v>无数值标答引用</x:v>
      </x:c>
      <x:c r="I79" s="11" t="str">
        <x:v>G:/StructureClaw-All/structureclaw/tests/llm-benchmark/scenarios/interactive_robustness/robust-generic-too-vague.json</x:v>
      </x:c>
      <x:c r="J79" s="30" t="n">
        <x:f>COUNTIFS('300题规划'!$R$2:$R$301,A79)+COUNTIFS('300题规划'!$S$2:$S$301,A79)</x:f>
        <x:v>0</x:v>
      </x:c>
      <x:c r="K79" s="30" t="n">
        <x:f>COUNTIFS('300个模型'!$I$2:$I$301,A79)</x:f>
        <x:v>0</x:v>
      </x:c>
      <x:c r="L79" s="11" t="str">
        <x:v>暂不直接引用；相近结构/输入样式已覆盖，可作后续素材备选</x:v>
      </x:c>
      <x:c r="M79" s="11" t="str">
        <x:v>无附件</x:v>
      </x:c>
      <x:c r="N79" s="11" t="str">
        <x:v>未指定</x:v>
      </x:c>
    </x:row>
    <x:row r="80" ht="52.5" customHeight="1">
      <x:c r="A80" s="33" t="str">
        <x:v>robust-portal-conflicting-span</x:v>
      </x:c>
      <x:c r="B80" s="6" t="str">
        <x:v>交互鲁棒性</x:v>
      </x:c>
      <x:c r="C80" s="6" t="str">
        <x:v>门刚跨度冲突</x:v>
      </x:c>
      <x:c r="D80" s="6" t="str">
        <x:v>L3</x:v>
      </x:c>
      <x:c r="E80" s="6" t="str">
        <x:v>中文</x:v>
      </x:c>
      <x:c r="F80" s="6" t="str">
        <x:v>text</x:v>
      </x:c>
      <x:c r="G80" s="6" t="n">
        <x:v>1</x:v>
      </x:c>
      <x:c r="H80" s="6" t="str">
        <x:v>无数值标答引用</x:v>
      </x:c>
      <x:c r="I80" s="6" t="str">
        <x:v>G:/StructureClaw-All/structureclaw/tests/llm-benchmark/scenarios/interactive_robustness/robust-portal-conflicting-span.json</x:v>
      </x:c>
      <x:c r="J80" s="30" t="n">
        <x:f>COUNTIFS('300题规划'!$R$2:$R$301,A80)+COUNTIFS('300题规划'!$S$2:$S$301,A80)</x:f>
        <x:v>1</x:v>
      </x:c>
      <x:c r="K80" s="30" t="n">
        <x:f>COUNTIFS('300个模型'!$I$2:$I$301,A80)</x:f>
        <x:v>0</x:v>
      </x:c>
      <x:c r="L80" s="6" t="str">
        <x:v>题面/交互/素材来源；每题独立建模并按新契约重验真值</x:v>
      </x:c>
      <x:c r="M80" s="6" t="str">
        <x:v>无附件</x:v>
      </x:c>
      <x:c r="N80" s="6" t="str">
        <x:v>未指定</x:v>
      </x:c>
    </x:row>
    <x:row r="81" ht="52.5" customHeight="1">
      <x:c r="A81" s="32" t="str">
        <x:v>robust-portal-missing-height</x:v>
      </x:c>
      <x:c r="B81" s="11" t="str">
        <x:v>交互鲁棒性</x:v>
      </x:c>
      <x:c r="C81" s="11" t="str">
        <x:v>Portal frame missing height and load information</x:v>
      </x:c>
      <x:c r="D81" s="11" t="str">
        <x:v>L2</x:v>
      </x:c>
      <x:c r="E81" s="11" t="str">
        <x:v>英文</x:v>
      </x:c>
      <x:c r="F81" s="11" t="str">
        <x:v>text</x:v>
      </x:c>
      <x:c r="G81" s="11" t="n">
        <x:v>1</x:v>
      </x:c>
      <x:c r="H81" s="11" t="str">
        <x:v>无数值标答引用</x:v>
      </x:c>
      <x:c r="I81" s="11" t="str">
        <x:v>G:/StructureClaw-All/structureclaw/tests/llm-benchmark/scenarios/interactive_robustness/robust-portal-missing-height.json</x:v>
      </x:c>
      <x:c r="J81" s="30" t="n">
        <x:f>COUNTIFS('300题规划'!$R$2:$R$301,A81)+COUNTIFS('300题规划'!$S$2:$S$301,A81)</x:f>
        <x:v>0</x:v>
      </x:c>
      <x:c r="K81" s="30" t="n">
        <x:f>COUNTIFS('300个模型'!$I$2:$I$301,A81)</x:f>
        <x:v>0</x:v>
      </x:c>
      <x:c r="L81" s="11" t="str">
        <x:v>暂不直接引用；相近结构/输入样式已覆盖，可作后续素材备选</x:v>
      </x:c>
      <x:c r="M81" s="11" t="str">
        <x:v>无附件</x:v>
      </x:c>
      <x:c r="N81" s="11" t="str">
        <x:v>未指定</x:v>
      </x:c>
    </x:row>
    <x:row r="82" ht="52.5" customHeight="1">
      <x:c r="A82" s="33" t="str">
        <x:v>robust-portal-negative-roof-load</x:v>
      </x:c>
      <x:c r="B82" s="6" t="str">
        <x:v>交互鲁棒性</x:v>
      </x:c>
      <x:c r="C82" s="6" t="str">
        <x:v>门刚荷载方向/数值异常</x:v>
      </x:c>
      <x:c r="D82" s="6" t="str">
        <x:v>L2</x:v>
      </x:c>
      <x:c r="E82" s="6" t="str">
        <x:v>中文</x:v>
      </x:c>
      <x:c r="F82" s="6" t="str">
        <x:v>text</x:v>
      </x:c>
      <x:c r="G82" s="6" t="n">
        <x:v>1</x:v>
      </x:c>
      <x:c r="H82" s="6" t="str">
        <x:v>无数值标答引用</x:v>
      </x:c>
      <x:c r="I82" s="6" t="str">
        <x:v>G:/StructureClaw-All/structureclaw/tests/llm-benchmark/scenarios/interactive_robustness/robust-portal-negative-roof-load.json</x:v>
      </x:c>
      <x:c r="J82" s="30" t="n">
        <x:f>COUNTIFS('300题规划'!$R$2:$R$301,A82)+COUNTIFS('300题规划'!$S$2:$S$301,A82)</x:f>
        <x:v>1</x:v>
      </x:c>
      <x:c r="K82" s="30" t="n">
        <x:f>COUNTIFS('300个模型'!$I$2:$I$301,A82)</x:f>
        <x:v>0</x:v>
      </x:c>
      <x:c r="L82" s="6" t="str">
        <x:v>题面/交互/素材来源；每题独立建模并按新契约重验真值</x:v>
      </x:c>
      <x:c r="M82" s="6" t="str">
        <x:v>无附件</x:v>
      </x:c>
      <x:c r="N82" s="6" t="str">
        <x:v>未指定</x:v>
      </x:c>
    </x:row>
    <x:row r="83" ht="52.5" customHeight="1">
      <x:c r="A83" s="32" t="str">
        <x:v>robust-portal-unit-roof-load</x:v>
      </x:c>
      <x:c r="B83" s="11" t="str">
        <x:v>交互鲁棒性</x:v>
      </x:c>
      <x:c r="C83" s="11" t="str">
        <x:v>Portal frame roof load unit ambiguity</x:v>
      </x:c>
      <x:c r="D83" s="11" t="str">
        <x:v>L2</x:v>
      </x:c>
      <x:c r="E83" s="11" t="str">
        <x:v>英文</x:v>
      </x:c>
      <x:c r="F83" s="11" t="str">
        <x:v>text</x:v>
      </x:c>
      <x:c r="G83" s="11" t="n">
        <x:v>1</x:v>
      </x:c>
      <x:c r="H83" s="11" t="str">
        <x:v>无数值标答引用</x:v>
      </x:c>
      <x:c r="I83" s="11" t="str">
        <x:v>G:/StructureClaw-All/structureclaw/tests/llm-benchmark/scenarios/interactive_robustness/robust-portal-unit-roof-load.json</x:v>
      </x:c>
      <x:c r="J83" s="30" t="n">
        <x:f>COUNTIFS('300题规划'!$R$2:$R$301,A83)+COUNTIFS('300题规划'!$S$2:$S$301,A83)</x:f>
        <x:v>1</x:v>
      </x:c>
      <x:c r="K83" s="30" t="n">
        <x:f>COUNTIFS('300个模型'!$I$2:$I$301,A83)</x:f>
        <x:v>0</x:v>
      </x:c>
      <x:c r="L83" s="11" t="str">
        <x:v>题面/交互/素材来源；每题独立建模并按新契约重验真值</x:v>
      </x:c>
      <x:c r="M83" s="11" t="str">
        <x:v>无附件</x:v>
      </x:c>
      <x:c r="N83" s="11" t="str">
        <x:v>未指定</x:v>
      </x:c>
    </x:row>
    <x:row r="84" ht="52.5" customHeight="1">
      <x:c r="A84" s="33" t="str">
        <x:v>robust-portal-unrealistic-span</x:v>
      </x:c>
      <x:c r="B84" s="6" t="str">
        <x:v>交互鲁棒性</x:v>
      </x:c>
      <x:c r="C84" s="6" t="str">
        <x:v>Portal frame with extreme span and load</x:v>
      </x:c>
      <x:c r="D84" s="6" t="str">
        <x:v>L2</x:v>
      </x:c>
      <x:c r="E84" s="6" t="str">
        <x:v>英文</x:v>
      </x:c>
      <x:c r="F84" s="6" t="str">
        <x:v>text</x:v>
      </x:c>
      <x:c r="G84" s="6" t="n">
        <x:v>1</x:v>
      </x:c>
      <x:c r="H84" s="6" t="str">
        <x:v>无数值标答引用</x:v>
      </x:c>
      <x:c r="I84" s="6" t="str">
        <x:v>G:/StructureClaw-All/structureclaw/tests/llm-benchmark/scenarios/interactive_robustness/robust-portal-unrealistic-span.json</x:v>
      </x:c>
      <x:c r="J84" s="30" t="n">
        <x:f>COUNTIFS('300题规划'!$R$2:$R$301,A84)+COUNTIFS('300题规划'!$S$2:$S$301,A84)</x:f>
        <x:v>0</x:v>
      </x:c>
      <x:c r="K84" s="30" t="n">
        <x:f>COUNTIFS('300个模型'!$I$2:$I$301,A84)</x:f>
        <x:v>0</x:v>
      </x:c>
      <x:c r="L84" s="6" t="str">
        <x:v>不直接沿用按阈值拒绝；先明确物理语义、符号与可解性</x:v>
      </x:c>
      <x:c r="M84" s="6" t="str">
        <x:v>无附件</x:v>
      </x:c>
      <x:c r="N84" s="6" t="str">
        <x:v>未指定</x:v>
      </x:c>
    </x:row>
    <x:row r="85" ht="52.5" customHeight="1">
      <x:c r="A85" s="32" t="str">
        <x:v>robust-truss-conflicting-topology</x:v>
      </x:c>
      <x:c r="B85" s="11" t="str">
        <x:v>交互鲁棒性</x:v>
      </x:c>
      <x:c r="C85" s="11" t="str">
        <x:v>Truss topology conflict</x:v>
      </x:c>
      <x:c r="D85" s="11" t="str">
        <x:v>L3</x:v>
      </x:c>
      <x:c r="E85" s="11" t="str">
        <x:v>英文</x:v>
      </x:c>
      <x:c r="F85" s="11" t="str">
        <x:v>text</x:v>
      </x:c>
      <x:c r="G85" s="11" t="n">
        <x:v>1</x:v>
      </x:c>
      <x:c r="H85" s="11" t="str">
        <x:v>无数值标答引用</x:v>
      </x:c>
      <x:c r="I85" s="11" t="str">
        <x:v>G:/StructureClaw-All/structureclaw/tests/llm-benchmark/scenarios/interactive_robustness/robust-truss-conflicting-topology.json</x:v>
      </x:c>
      <x:c r="J85" s="30" t="n">
        <x:f>COUNTIFS('300题规划'!$R$2:$R$301,A85)+COUNTIFS('300题规划'!$S$2:$S$301,A85)</x:f>
        <x:v>1</x:v>
      </x:c>
      <x:c r="K85" s="30" t="n">
        <x:f>COUNTIFS('300个模型'!$I$2:$I$301,A85)</x:f>
        <x:v>0</x:v>
      </x:c>
      <x:c r="L85" s="11" t="str">
        <x:v>题面/交互/素材来源；每题独立建模并按新契约重验真值</x:v>
      </x:c>
      <x:c r="M85" s="11" t="str">
        <x:v>无附件</x:v>
      </x:c>
      <x:c r="N85" s="11" t="str">
        <x:v>未指定</x:v>
      </x:c>
    </x:row>
    <x:row r="86" ht="52.5" customHeight="1">
      <x:c r="A86" s="33" t="str">
        <x:v>robust-truss-missing-panels</x:v>
      </x:c>
      <x:c r="B86" s="6" t="str">
        <x:v>交互鲁棒性</x:v>
      </x:c>
      <x:c r="C86" s="6" t="str">
        <x:v>Truss missing panel count and load information</x:v>
      </x:c>
      <x:c r="D86" s="6" t="str">
        <x:v>L2</x:v>
      </x:c>
      <x:c r="E86" s="6" t="str">
        <x:v>英文</x:v>
      </x:c>
      <x:c r="F86" s="6" t="str">
        <x:v>text</x:v>
      </x:c>
      <x:c r="G86" s="6" t="n">
        <x:v>1</x:v>
      </x:c>
      <x:c r="H86" s="6" t="str">
        <x:v>无数值标答引用</x:v>
      </x:c>
      <x:c r="I86" s="6" t="str">
        <x:v>G:/StructureClaw-All/structureclaw/tests/llm-benchmark/scenarios/interactive_robustness/robust-truss-missing-panels.json</x:v>
      </x:c>
      <x:c r="J86" s="30" t="n">
        <x:f>COUNTIFS('300题规划'!$R$2:$R$301,A86)+COUNTIFS('300题规划'!$S$2:$S$301,A86)</x:f>
        <x:v>1</x:v>
      </x:c>
      <x:c r="K86" s="30" t="n">
        <x:f>COUNTIFS('300个模型'!$I$2:$I$301,A86)</x:f>
        <x:v>0</x:v>
      </x:c>
      <x:c r="L86" s="6" t="str">
        <x:v>题面/交互/素材来源；每题独立建模并按新契约重验真值</x:v>
      </x:c>
      <x:c r="M86" s="6" t="str">
        <x:v>无附件</x:v>
      </x:c>
      <x:c r="N86" s="6" t="str">
        <x:v>未指定</x:v>
      </x:c>
    </x:row>
    <x:row r="87" ht="52.5" customHeight="1">
      <x:c r="A87" s="32" t="str">
        <x:v>robust-truss-unit-ton-or-kn</x:v>
      </x:c>
      <x:c r="B87" s="11" t="str">
        <x:v>交互鲁棒性</x:v>
      </x:c>
      <x:c r="C87" s="11" t="str">
        <x:v>Truss nodal load unit ambiguity</x:v>
      </x:c>
      <x:c r="D87" s="11" t="str">
        <x:v>L2</x:v>
      </x:c>
      <x:c r="E87" s="11" t="str">
        <x:v>英文</x:v>
      </x:c>
      <x:c r="F87" s="11" t="str">
        <x:v>text</x:v>
      </x:c>
      <x:c r="G87" s="11" t="n">
        <x:v>1</x:v>
      </x:c>
      <x:c r="H87" s="11" t="str">
        <x:v>无数值标答引用</x:v>
      </x:c>
      <x:c r="I87" s="11" t="str">
        <x:v>G:/StructureClaw-All/structureclaw/tests/llm-benchmark/scenarios/interactive_robustness/robust-truss-unit-ton-or-kn.json</x:v>
      </x:c>
      <x:c r="J87" s="30" t="n">
        <x:f>COUNTIFS('300题规划'!$R$2:$R$301,A87)+COUNTIFS('300题规划'!$S$2:$S$301,A87)</x:f>
        <x:v>1</x:v>
      </x:c>
      <x:c r="K87" s="30" t="n">
        <x:f>COUNTIFS('300个模型'!$I$2:$I$301,A87)</x:f>
        <x:v>0</x:v>
      </x:c>
      <x:c r="L87" s="11" t="str">
        <x:v>题面/交互/素材来源；每题独立建模并按新契约重验真值</x:v>
      </x:c>
      <x:c r="M87" s="11" t="str">
        <x:v>无附件</x:v>
      </x:c>
      <x:c r="N87" s="11" t="str">
        <x:v>未指定</x:v>
      </x:c>
    </x:row>
    <x:row r="88" ht="52.5" customHeight="1">
      <x:c r="A88" s="33" t="str">
        <x:v>robust-truss-unrealistic-panel</x:v>
      </x:c>
      <x:c r="B88" s="6" t="str">
        <x:v>交互鲁棒性</x:v>
      </x:c>
      <x:c r="C88" s="6" t="str">
        <x:v>桁架节间极端</x:v>
      </x:c>
      <x:c r="D88" s="6" t="str">
        <x:v>L2</x:v>
      </x:c>
      <x:c r="E88" s="6" t="str">
        <x:v>中文</x:v>
      </x:c>
      <x:c r="F88" s="6" t="str">
        <x:v>text</x:v>
      </x:c>
      <x:c r="G88" s="6" t="n">
        <x:v>1</x:v>
      </x:c>
      <x:c r="H88" s="6" t="str">
        <x:v>无数值标答引用</x:v>
      </x:c>
      <x:c r="I88" s="6" t="str">
        <x:v>G:/StructureClaw-All/structureclaw/tests/llm-benchmark/scenarios/interactive_robustness/robust-truss-unrealistic-panel.json</x:v>
      </x:c>
      <x:c r="J88" s="30" t="n">
        <x:f>COUNTIFS('300题规划'!$R$2:$R$301,A88)+COUNTIFS('300题规划'!$S$2:$S$301,A88)</x:f>
        <x:v>0</x:v>
      </x:c>
      <x:c r="K88" s="30" t="n">
        <x:f>COUNTIFS('300个模型'!$I$2:$I$301,A88)</x:f>
        <x:v>0</x:v>
      </x:c>
      <x:c r="L88" s="6" t="str">
        <x:v>不直接沿用按阈值拒绝；先明确物理语义、符号与可解性</x:v>
      </x:c>
      <x:c r="M88" s="6" t="str">
        <x:v>无附件</x:v>
      </x:c>
      <x:c r="N88" s="6" t="str">
        <x:v>未指定</x:v>
      </x:c>
    </x:row>
    <x:row r="89" ht="52.5" customHeight="1">
      <x:c r="A89" s="32" t="str">
        <x:v>robust-truss-zero-height</x:v>
      </x:c>
      <x:c r="B89" s="11" t="str">
        <x:v>交互鲁棒性</x:v>
      </x:c>
      <x:c r="C89" s="11" t="str">
        <x:v>桁架零高度</x:v>
      </x:c>
      <x:c r="D89" s="11" t="str">
        <x:v>L2</x:v>
      </x:c>
      <x:c r="E89" s="11" t="str">
        <x:v>中文</x:v>
      </x:c>
      <x:c r="F89" s="11" t="str">
        <x:v>text</x:v>
      </x:c>
      <x:c r="G89" s="11" t="n">
        <x:v>1</x:v>
      </x:c>
      <x:c r="H89" s="11" t="str">
        <x:v>无数值标答引用</x:v>
      </x:c>
      <x:c r="I89" s="11" t="str">
        <x:v>G:/StructureClaw-All/structureclaw/tests/llm-benchmark/scenarios/interactive_robustness/robust-truss-zero-height.json</x:v>
      </x:c>
      <x:c r="J89" s="30" t="n">
        <x:f>COUNTIFS('300题规划'!$R$2:$R$301,A89)+COUNTIFS('300题规划'!$S$2:$S$301,A89)</x:f>
        <x:v>1</x:v>
      </x:c>
      <x:c r="K89" s="30" t="n">
        <x:f>COUNTIFS('300个模型'!$I$2:$I$301,A89)</x:f>
        <x:v>0</x:v>
      </x:c>
      <x:c r="L89" s="11" t="str">
        <x:v>题面/交互/素材来源；每题独立建模并按新契约重验真值</x:v>
      </x:c>
      <x:c r="M89" s="11" t="str">
        <x:v>无附件</x:v>
      </x:c>
      <x:c r="N89" s="11" t="str">
        <x:v>未指定</x:v>
      </x:c>
    </x:row>
    <x:row r="90" ht="52.5" customHeight="1">
      <x:c r="A90" s="33" t="str">
        <x:v>robust-unsupported-bridge</x:v>
      </x:c>
      <x:c r="B90" s="6" t="str">
        <x:v>交互鲁棒性</x:v>
      </x:c>
      <x:c r="C90" s="6" t="str">
        <x:v>Bridge system outside current benchmark scope</x:v>
      </x:c>
      <x:c r="D90" s="6" t="str">
        <x:v>L3</x:v>
      </x:c>
      <x:c r="E90" s="6" t="str">
        <x:v>英文</x:v>
      </x:c>
      <x:c r="F90" s="6" t="str">
        <x:v>text</x:v>
      </x:c>
      <x:c r="G90" s="6" t="n">
        <x:v>1</x:v>
      </x:c>
      <x:c r="H90" s="6" t="str">
        <x:v>无数值标答引用</x:v>
      </x:c>
      <x:c r="I90" s="6" t="str">
        <x:v>G:/StructureClaw-All/structureclaw/tests/llm-benchmark/scenarios/interactive_robustness/robust-unsupported-bridge.json</x:v>
      </x:c>
      <x:c r="J90" s="30" t="n">
        <x:f>COUNTIFS('300题规划'!$R$2:$R$301,A90)+COUNTIFS('300题规划'!$S$2:$S$301,A90)</x:f>
        <x:v>0</x:v>
      </x:c>
      <x:c r="K90" s="30" t="n">
        <x:f>COUNTIFS('300个模型'!$I$2:$I$301,A90)</x:f>
        <x:v>0</x:v>
      </x:c>
      <x:c r="L90" s="6" t="str">
        <x:v>不将旧框架能力边界直接作为工程能力题；暂不直接引用</x:v>
      </x:c>
      <x:c r="M90" s="6" t="str">
        <x:v>无附件</x:v>
      </x:c>
      <x:c r="N90" s="6" t="str">
        <x:v>未指定</x:v>
      </x:c>
    </x:row>
    <x:row r="91" ht="52.5" customHeight="1">
      <x:c r="A91" s="32" t="str">
        <x:v>robust-unsupported-shell</x:v>
      </x:c>
      <x:c r="B91" s="11" t="str">
        <x:v>交互鲁棒性</x:v>
      </x:c>
      <x:c r="C91" s="11" t="str">
        <x:v>Shell roof outside current benchmark scope</x:v>
      </x:c>
      <x:c r="D91" s="11" t="str">
        <x:v>L3</x:v>
      </x:c>
      <x:c r="E91" s="11" t="str">
        <x:v>英文</x:v>
      </x:c>
      <x:c r="F91" s="11" t="str">
        <x:v>text</x:v>
      </x:c>
      <x:c r="G91" s="11" t="n">
        <x:v>1</x:v>
      </x:c>
      <x:c r="H91" s="11" t="str">
        <x:v>无数值标答引用</x:v>
      </x:c>
      <x:c r="I91" s="11" t="str">
        <x:v>G:/StructureClaw-All/structureclaw/tests/llm-benchmark/scenarios/interactive_robustness/robust-unsupported-shell.json</x:v>
      </x:c>
      <x:c r="J91" s="30" t="n">
        <x:f>COUNTIFS('300题规划'!$R$2:$R$301,A91)+COUNTIFS('300题规划'!$S$2:$S$301,A91)</x:f>
        <x:v>0</x:v>
      </x:c>
      <x:c r="K91" s="30" t="n">
        <x:f>COUNTIFS('300个模型'!$I$2:$I$301,A91)</x:f>
        <x:v>0</x:v>
      </x:c>
      <x:c r="L91" s="11" t="str">
        <x:v>不将旧框架能力边界直接作为工程能力题；暂不直接引用</x:v>
      </x:c>
      <x:c r="M91" s="11" t="str">
        <x:v>无附件</x:v>
      </x:c>
      <x:c r="N91" s="11" t="str">
        <x:v>未指定</x:v>
      </x:c>
    </x:row>
    <x:row r="92" ht="52.5" customHeight="1">
      <x:c r="A92" s="33" t="str">
        <x:v>robust-unsupported-slab</x:v>
      </x:c>
      <x:c r="B92" s="6" t="str">
        <x:v>交互鲁棒性</x:v>
      </x:c>
      <x:c r="C92" s="6" t="str">
        <x:v>暂不支持楼板壳单元</x:v>
      </x:c>
      <x:c r="D92" s="6" t="str">
        <x:v>L3</x:v>
      </x:c>
      <x:c r="E92" s="6" t="str">
        <x:v>中文</x:v>
      </x:c>
      <x:c r="F92" s="6" t="str">
        <x:v>text</x:v>
      </x:c>
      <x:c r="G92" s="6" t="n">
        <x:v>1</x:v>
      </x:c>
      <x:c r="H92" s="6" t="str">
        <x:v>无数值标答引用</x:v>
      </x:c>
      <x:c r="I92" s="6" t="str">
        <x:v>G:/StructureClaw-All/structureclaw/tests/llm-benchmark/scenarios/interactive_robustness/robust-unsupported-slab.json</x:v>
      </x:c>
      <x:c r="J92" s="30" t="n">
        <x:f>COUNTIFS('300题规划'!$R$2:$R$301,A92)+COUNTIFS('300题规划'!$S$2:$S$301,A92)</x:f>
        <x:v>0</x:v>
      </x:c>
      <x:c r="K92" s="30" t="n">
        <x:f>COUNTIFS('300个模型'!$I$2:$I$301,A92)</x:f>
        <x:v>0</x:v>
      </x:c>
      <x:c r="L92" s="6" t="str">
        <x:v>不将旧框架能力边界直接作为工程能力题；暂不直接引用</x:v>
      </x:c>
      <x:c r="M92" s="6" t="str">
        <x:v>无附件</x:v>
      </x:c>
      <x:c r="N92" s="6" t="str">
        <x:v>未指定</x:v>
      </x:c>
    </x:row>
    <x:row r="93" ht="52.5" customHeight="1">
      <x:c r="A93" s="32" t="str">
        <x:v>robust-unsupported-tower</x:v>
      </x:c>
      <x:c r="B93" s="11" t="str">
        <x:v>交互鲁棒性</x:v>
      </x:c>
      <x:c r="C93" s="11" t="str">
        <x:v>复杂塔架暂不支持</x:v>
      </x:c>
      <x:c r="D93" s="11" t="str">
        <x:v>L3</x:v>
      </x:c>
      <x:c r="E93" s="11" t="str">
        <x:v>中文</x:v>
      </x:c>
      <x:c r="F93" s="11" t="str">
        <x:v>text</x:v>
      </x:c>
      <x:c r="G93" s="11" t="n">
        <x:v>1</x:v>
      </x:c>
      <x:c r="H93" s="11" t="str">
        <x:v>无数值标答引用</x:v>
      </x:c>
      <x:c r="I93" s="11" t="str">
        <x:v>G:/StructureClaw-All/structureclaw/tests/llm-benchmark/scenarios/interactive_robustness/robust-unsupported-tower.json</x:v>
      </x:c>
      <x:c r="J93" s="30" t="n">
        <x:f>COUNTIFS('300题规划'!$R$2:$R$301,A93)+COUNTIFS('300题规划'!$S$2:$S$301,A93)</x:f>
        <x:v>0</x:v>
      </x:c>
      <x:c r="K93" s="30" t="n">
        <x:f>COUNTIFS('300个模型'!$I$2:$I$301,A93)</x:f>
        <x:v>0</x:v>
      </x:c>
      <x:c r="L93" s="11" t="str">
        <x:v>不将旧框架能力边界直接作为工程能力题；暂不直接引用</x:v>
      </x:c>
      <x:c r="M93" s="11" t="str">
        <x:v>无附件</x:v>
      </x:c>
      <x:c r="N93" s="11" t="str">
        <x:v>未指定</x:v>
      </x:c>
    </x:row>
    <x:row r="94" ht="52.5" customHeight="1">
      <x:c r="A94" s="33" t="str">
        <x:v>robust-update-beam-add-load</x:v>
      </x:c>
      <x:c r="B94" s="6" t="str">
        <x:v>交互鲁棒性</x:v>
      </x:c>
      <x:c r="C94" s="6" t="str">
        <x:v>多轮：梁追加集中力</x:v>
      </x:c>
      <x:c r="D94" s="6" t="str">
        <x:v>L3</x:v>
      </x:c>
      <x:c r="E94" s="6" t="str">
        <x:v>中文</x:v>
      </x:c>
      <x:c r="F94" s="6" t="str">
        <x:v>text</x:v>
      </x:c>
      <x:c r="G94" s="6" t="n">
        <x:v>2</x:v>
      </x:c>
      <x:c r="H94" s="6" t="str">
        <x:v>beam-simple-6m；beam-simple-6m-udl20-point30</x:v>
      </x:c>
      <x:c r="I94" s="6" t="str">
        <x:v>G:/StructureClaw-All/structureclaw/tests/llm-benchmark/scenarios/interactive_robustness/robust-update-beam-add-load.json</x:v>
      </x:c>
      <x:c r="J94" s="30" t="n">
        <x:f>COUNTIFS('300题规划'!$R$2:$R$301,A94)+COUNTIFS('300题规划'!$S$2:$S$301,A94)</x:f>
        <x:v>1</x:v>
      </x:c>
      <x:c r="K94" s="30" t="n">
        <x:f>COUNTIFS('300个模型'!$I$2:$I$301,A94)</x:f>
        <x:v>0</x:v>
      </x:c>
      <x:c r="L94" s="6" t="str">
        <x:v>题面/交互/素材来源；每题独立建模并按新契约重验真值</x:v>
      </x:c>
      <x:c r="M94" s="6" t="str">
        <x:v>无附件</x:v>
      </x:c>
      <x:c r="N94" s="6" t="str">
        <x:v>未指定</x:v>
      </x:c>
    </x:row>
    <x:row r="95" ht="52.5" customHeight="1">
      <x:c r="A95" s="32" t="str">
        <x:v>robust-update-beam-change-span</x:v>
      </x:c>
      <x:c r="B95" s="11" t="str">
        <x:v>交互鲁棒性</x:v>
      </x:c>
      <x:c r="C95" s="11" t="str">
        <x:v>多轮：梁修改跨度</x:v>
      </x:c>
      <x:c r="D95" s="11" t="str">
        <x:v>L3</x:v>
      </x:c>
      <x:c r="E95" s="11" t="str">
        <x:v>中文</x:v>
      </x:c>
      <x:c r="F95" s="11" t="str">
        <x:v>text</x:v>
      </x:c>
      <x:c r="G95" s="11" t="n">
        <x:v>2</x:v>
      </x:c>
      <x:c r="H95" s="11" t="str">
        <x:v>beam-simple-6m；beam-simple-8m-udl20</x:v>
      </x:c>
      <x:c r="I95" s="11" t="str">
        <x:v>G:/StructureClaw-All/structureclaw/tests/llm-benchmark/scenarios/interactive_robustness/robust-update-beam-change-span.json</x:v>
      </x:c>
      <x:c r="J95" s="30" t="n">
        <x:f>COUNTIFS('300题规划'!$R$2:$R$301,A95)+COUNTIFS('300题规划'!$S$2:$S$301,A95)</x:f>
        <x:v>1</x:v>
      </x:c>
      <x:c r="K95" s="30" t="n">
        <x:f>COUNTIFS('300个模型'!$I$2:$I$301,A95)</x:f>
        <x:v>0</x:v>
      </x:c>
      <x:c r="L95" s="11" t="str">
        <x:v>题面/交互/素材来源；每题独立建模并按新契约重验真值</x:v>
      </x:c>
      <x:c r="M95" s="11" t="str">
        <x:v>无附件</x:v>
      </x:c>
      <x:c r="N95" s="11" t="str">
        <x:v>未指定</x:v>
      </x:c>
    </x:row>
    <x:row r="96" ht="52.5" customHeight="1">
      <x:c r="A96" s="33" t="str">
        <x:v>robust-update-concrete-material</x:v>
      </x:c>
      <x:c r="B96" s="6" t="str">
        <x:v>交互鲁棒性</x:v>
      </x:c>
      <x:c r="C96" s="6" t="str">
        <x:v>多轮：混凝土框架修改材料</x:v>
      </x:c>
      <x:c r="D96" s="6" t="str">
        <x:v>L3</x:v>
      </x:c>
      <x:c r="E96" s="6" t="str">
        <x:v>中文</x:v>
      </x:c>
      <x:c r="F96" s="6" t="str">
        <x:v>text</x:v>
      </x:c>
      <x:c r="G96" s="6" t="n">
        <x:v>2</x:v>
      </x:c>
      <x:c r="H96" s="6" t="str">
        <x:v>concrete-frame-2s2b-6m-10k-c30；concrete-frame-2s2b-6m-10k-c40</x:v>
      </x:c>
      <x:c r="I96" s="6" t="str">
        <x:v>G:/StructureClaw-All/structureclaw/tests/llm-benchmark/scenarios/interactive_robustness/robust-update-concrete-material.json</x:v>
      </x:c>
      <x:c r="J96" s="30" t="n">
        <x:f>COUNTIFS('300题规划'!$R$2:$R$301,A96)+COUNTIFS('300题规划'!$S$2:$S$301,A96)</x:f>
        <x:v>2</x:v>
      </x:c>
      <x:c r="K96" s="30" t="n">
        <x:f>COUNTIFS('300个模型'!$I$2:$I$301,A96)</x:f>
        <x:v>3</x:v>
      </x:c>
      <x:c r="L96" s="6" t="str">
        <x:v>题面/交互/素材来源；每题独立建模并按新契约重验真值</x:v>
      </x:c>
      <x:c r="M96" s="6" t="str">
        <x:v>无附件</x:v>
      </x:c>
      <x:c r="N96" s="6" t="str">
        <x:v>未指定</x:v>
      </x:c>
    </x:row>
    <x:row r="97" ht="52.5" customHeight="1">
      <x:c r="A97" s="32" t="str">
        <x:v>robust-update-frame-add-wind-zh</x:v>
      </x:c>
      <x:c r="B97" s="11" t="str">
        <x:v>交互鲁棒性</x:v>
      </x:c>
      <x:c r="C97" s="11" t="str">
        <x:v>多轮：钢框架追加风荷载后重新分析</x:v>
      </x:c>
      <x:c r="D97" s="11" t="str">
        <x:v>L3</x:v>
      </x:c>
      <x:c r="E97" s="11" t="str">
        <x:v>中文</x:v>
      </x:c>
      <x:c r="F97" s="11" t="str">
        <x:v>text</x:v>
      </x:c>
      <x:c r="G97" s="11" t="n">
        <x:v>2</x:v>
      </x:c>
      <x:c r="H97" s="11" t="str">
        <x:v>frame-2s1b-6m-10k-line；frame-2s1b-6m-10k-line-wind</x:v>
      </x:c>
      <x:c r="I97" s="11" t="str">
        <x:v>G:/StructureClaw-All/structureclaw/tests/llm-benchmark/scenarios/interactive_robustness/robust-update-frame-add-wind-zh.json</x:v>
      </x:c>
      <x:c r="J97" s="30" t="n">
        <x:f>COUNTIFS('300题规划'!$R$2:$R$301,A97)+COUNTIFS('300题规划'!$S$2:$S$301,A97)</x:f>
        <x:v>1</x:v>
      </x:c>
      <x:c r="K97" s="30" t="n">
        <x:f>COUNTIFS('300个模型'!$I$2:$I$301,A97)</x:f>
        <x:v>0</x:v>
      </x:c>
      <x:c r="L97" s="11" t="str">
        <x:v>题面/交互/素材来源；每题独立建模并按新契约重验真值</x:v>
      </x:c>
      <x:c r="M97" s="11" t="str">
        <x:v>无附件</x:v>
      </x:c>
      <x:c r="N97" s="11" t="str">
        <x:v>未指定</x:v>
      </x:c>
    </x:row>
    <x:row r="98" ht="52.5" customHeight="1">
      <x:c r="A98" s="33" t="str">
        <x:v>robust-update-frame-add-wind</x:v>
      </x:c>
      <x:c r="B98" s="6" t="str">
        <x:v>交互鲁棒性</x:v>
      </x:c>
      <x:c r="C98" s="6" t="str">
        <x:v>Multi-turn: add wind load to steel frame</x:v>
      </x:c>
      <x:c r="D98" s="6" t="str">
        <x:v>L3</x:v>
      </x:c>
      <x:c r="E98" s="6" t="str">
        <x:v>英文</x:v>
      </x:c>
      <x:c r="F98" s="6" t="str">
        <x:v>text</x:v>
      </x:c>
      <x:c r="G98" s="6" t="n">
        <x:v>2</x:v>
      </x:c>
      <x:c r="H98" s="6" t="str">
        <x:v>frame-2s2b-6m-10k；frame-2s2b-6m-10k-wind</x:v>
      </x:c>
      <x:c r="I98" s="6" t="str">
        <x:v>G:/StructureClaw-All/structureclaw/tests/llm-benchmark/scenarios/interactive_robustness/robust-update-frame-add-wind.json</x:v>
      </x:c>
      <x:c r="J98" s="30" t="n">
        <x:f>COUNTIFS('300题规划'!$R$2:$R$301,A98)+COUNTIFS('300题规划'!$S$2:$S$301,A98)</x:f>
        <x:v>1</x:v>
      </x:c>
      <x:c r="K98" s="30" t="n">
        <x:f>COUNTIFS('300个模型'!$I$2:$I$301,A98)</x:f>
        <x:v>0</x:v>
      </x:c>
      <x:c r="L98" s="6" t="str">
        <x:v>题面/交互/素材来源；每题独立建模并按新契约重验真值</x:v>
      </x:c>
      <x:c r="M98" s="6" t="str">
        <x:v>无附件</x:v>
      </x:c>
      <x:c r="N98" s="6" t="str">
        <x:v>未指定</x:v>
      </x:c>
    </x:row>
    <x:row r="99" ht="52.5" customHeight="1">
      <x:c r="A99" s="32" t="str">
        <x:v>robust-update-generic-increase-load</x:v>
      </x:c>
      <x:c r="B99" s="11" t="str">
        <x:v>交互鲁棒性</x:v>
      </x:c>
      <x:c r="C99" s="11" t="str">
        <x:v>多轮：平面框架增大水平荷载</x:v>
      </x:c>
      <x:c r="D99" s="11" t="str">
        <x:v>L3</x:v>
      </x:c>
      <x:c r="E99" s="11" t="str">
        <x:v>中文</x:v>
      </x:c>
      <x:c r="F99" s="11" t="str">
        <x:v>text</x:v>
      </x:c>
      <x:c r="G99" s="11" t="n">
        <x:v>2</x:v>
      </x:c>
      <x:c r="H99" s="11" t="str">
        <x:v>generic-single-bay-6m-4m-lateral50；generic-single-bay-6m-4m-lateral80</x:v>
      </x:c>
      <x:c r="I99" s="11" t="str">
        <x:v>G:/StructureClaw-All/structureclaw/tests/llm-benchmark/scenarios/interactive_robustness/robust-update-generic-increase-load.json</x:v>
      </x:c>
      <x:c r="J99" s="30" t="n">
        <x:f>COUNTIFS('300题规划'!$R$2:$R$301,A99)+COUNTIFS('300题规划'!$S$2:$S$301,A99)</x:f>
        <x:v>1</x:v>
      </x:c>
      <x:c r="K99" s="30" t="n">
        <x:f>COUNTIFS('300个模型'!$I$2:$I$301,A99)</x:f>
        <x:v>0</x:v>
      </x:c>
      <x:c r="L99" s="11" t="str">
        <x:v>题面/交互/素材来源；每题独立建模并按新契约重验真值</x:v>
      </x:c>
      <x:c r="M99" s="11" t="str">
        <x:v>无附件</x:v>
      </x:c>
      <x:c r="N99" s="11" t="str">
        <x:v>未指定</x:v>
      </x:c>
    </x:row>
    <x:row r="100" ht="52.5" customHeight="1">
      <x:c r="A100" s="33" t="str">
        <x:v>robust-update-portal-height</x:v>
      </x:c>
      <x:c r="B100" s="6" t="str">
        <x:v>交互鲁棒性</x:v>
      </x:c>
      <x:c r="C100" s="6" t="str">
        <x:v>多轮：门刚修改柱高</x:v>
      </x:c>
      <x:c r="D100" s="6" t="str">
        <x:v>L3</x:v>
      </x:c>
      <x:c r="E100" s="6" t="str">
        <x:v>中文</x:v>
      </x:c>
      <x:c r="F100" s="6" t="str">
        <x:v>text</x:v>
      </x:c>
      <x:c r="G100" s="6" t="n">
        <x:v>2</x:v>
      </x:c>
      <x:c r="H100" s="6" t="str">
        <x:v>portal-simple-18m-7m-6k；portal-simple-18m-9m-6k</x:v>
      </x:c>
      <x:c r="I100" s="6" t="str">
        <x:v>G:/StructureClaw-All/structureclaw/tests/llm-benchmark/scenarios/interactive_robustness/robust-update-portal-height.json</x:v>
      </x:c>
      <x:c r="J100" s="30" t="n">
        <x:f>COUNTIFS('300题规划'!$R$2:$R$301,A100)+COUNTIFS('300题规划'!$S$2:$S$301,A100)</x:f>
        <x:v>1</x:v>
      </x:c>
      <x:c r="K100" s="30" t="n">
        <x:f>COUNTIFS('300个模型'!$I$2:$I$301,A100)</x:f>
        <x:v>0</x:v>
      </x:c>
      <x:c r="L100" s="6" t="str">
        <x:v>题面/交互/素材来源；每题独立建模并按新契约重验真值</x:v>
      </x:c>
      <x:c r="M100" s="6" t="str">
        <x:v>无附件</x:v>
      </x:c>
      <x:c r="N100" s="6" t="str">
        <x:v>未指定</x:v>
      </x:c>
    </x:row>
    <x:row r="101" ht="52.5" customHeight="1">
      <x:c r="A101" s="32" t="str">
        <x:v>robust-update-truss-load</x:v>
      </x:c>
      <x:c r="B101" s="11" t="str">
        <x:v>交互鲁棒性</x:v>
      </x:c>
      <x:c r="C101" s="11" t="str">
        <x:v>Multi-turn: update truss nodal load</x:v>
      </x:c>
      <x:c r="D101" s="11" t="str">
        <x:v>L3</x:v>
      </x:c>
      <x:c r="E101" s="11" t="str">
        <x:v>英文</x:v>
      </x:c>
      <x:c r="F101" s="11" t="str">
        <x:v>text</x:v>
      </x:c>
      <x:c r="G101" s="11" t="n">
        <x:v>2</x:v>
      </x:c>
      <x:c r="H101" s="11" t="str">
        <x:v>truss-pratt-15m-top10；truss-pratt-15m-top15</x:v>
      </x:c>
      <x:c r="I101" s="11" t="str">
        <x:v>G:/StructureClaw-All/structureclaw/tests/llm-benchmark/scenarios/interactive_robustness/robust-update-truss-load.json</x:v>
      </x:c>
      <x:c r="J101" s="30" t="n">
        <x:f>COUNTIFS('300题规划'!$R$2:$R$301,A101)+COUNTIFS('300题规划'!$S$2:$S$301,A101)</x:f>
        <x:v>1</x:v>
      </x:c>
      <x:c r="K101" s="30" t="n">
        <x:f>COUNTIFS('300个模型'!$I$2:$I$301,A101)</x:f>
        <x:v>0</x:v>
      </x:c>
      <x:c r="L101" s="11" t="str">
        <x:v>题面/交互/素材来源；每题独立建模并按新契约重验真值</x:v>
      </x:c>
      <x:c r="M101" s="11" t="str">
        <x:v>无附件</x:v>
      </x:c>
      <x:c r="N101" s="11" t="str">
        <x:v>未指定</x:v>
      </x:c>
    </x:row>
    <x:row r="102" ht="52.5" customHeight="1">
      <x:c r="A102" s="33" t="str">
        <x:v>image-beam-sketch</x:v>
      </x:c>
      <x:c r="B102" s="6" t="str">
        <x:v>多模态逆向建模</x:v>
      </x:c>
      <x:c r="C102" s="6" t="str">
        <x:v>Image input: simply supported beam sketch</x:v>
      </x:c>
      <x:c r="D102" s="6" t="str">
        <x:v>L2</x:v>
      </x:c>
      <x:c r="E102" s="6" t="str">
        <x:v>英文</x:v>
      </x:c>
      <x:c r="F102" s="6" t="str">
        <x:v>image</x:v>
      </x:c>
      <x:c r="G102" s="6" t="n">
        <x:v>1</x:v>
      </x:c>
      <x:c r="H102" s="6" t="str">
        <x:v>beam-simple-6m</x:v>
      </x:c>
      <x:c r="I102" s="6" t="str">
        <x:v>G:/StructureClaw-All/structureclaw/tests/llm-benchmark/scenarios/multimodal_reverse_engineering/image-beam-sketch.json</x:v>
      </x:c>
      <x:c r="J102" s="30" t="n">
        <x:f>COUNTIFS('300题规划'!$R$2:$R$301,A102)+COUNTIFS('300题规划'!$S$2:$S$301,A102)</x:f>
        <x:v>0</x:v>
      </x:c>
      <x:c r="K102" s="30" t="n">
        <x:f>COUNTIFS('300个模型'!$I$2:$I$301,A102)</x:f>
        <x:v>0</x:v>
      </x:c>
      <x:c r="L102" s="6" t="str">
        <x:v>暂不直接引用；相近结构/输入样式已覆盖，可作后续素材备选</x:v>
      </x:c>
      <x:c r="M102" s="6" t="str">
        <x:v>fixtures/beam-sketch.png</x:v>
      </x:c>
      <x:c r="N102" s="6" t="str">
        <x:v>未指定</x:v>
      </x:c>
    </x:row>
    <x:row r="103" ht="52.5" customHeight="1">
      <x:c r="A103" s="32" t="str">
        <x:v>image-frame-sketch</x:v>
      </x:c>
      <x:c r="B103" s="11" t="str">
        <x:v>多模态逆向建模</x:v>
      </x:c>
      <x:c r="C103" s="11" t="str">
        <x:v>上传框架简图，识别并分析</x:v>
      </x:c>
      <x:c r="D103" s="11" t="str">
        <x:v>L2</x:v>
      </x:c>
      <x:c r="E103" s="11" t="str">
        <x:v>中文</x:v>
      </x:c>
      <x:c r="F103" s="11" t="str">
        <x:v>image</x:v>
      </x:c>
      <x:c r="G103" s="11" t="n">
        <x:v>1</x:v>
      </x:c>
      <x:c r="H103" s="11" t="str">
        <x:v>frame-2s1b-6m-10k</x:v>
      </x:c>
      <x:c r="I103" s="11" t="str">
        <x:v>G:/StructureClaw-All/structureclaw/tests/llm-benchmark/scenarios/multimodal_reverse_engineering/image-frame-sketch.json</x:v>
      </x:c>
      <x:c r="J103" s="30" t="n">
        <x:f>COUNTIFS('300题规划'!$R$2:$R$301,A103)+COUNTIFS('300题规划'!$S$2:$S$301,A103)</x:f>
        <x:v>1</x:v>
      </x:c>
      <x:c r="K103" s="30" t="n">
        <x:f>COUNTIFS('300个模型'!$I$2:$I$301,A103)</x:f>
        <x:v>0</x:v>
      </x:c>
      <x:c r="L103" s="11" t="str">
        <x:v>题面/交互/素材来源；每题独立建模并按新契约重验真值</x:v>
      </x:c>
      <x:c r="M103" s="11" t="str">
        <x:v>fixtures/frame-sketch.png</x:v>
      </x:c>
      <x:c r="N103" s="11" t="str">
        <x:v>未指定</x:v>
      </x:c>
    </x:row>
    <x:row r="104" ht="52.5" customHeight="1">
      <x:c r="A104" s="33" t="str">
        <x:v>image-incomplete-dimensions</x:v>
      </x:c>
      <x:c r="B104" s="6" t="str">
        <x:v>多模态逆向建模</x:v>
      </x:c>
      <x:c r="C104" s="6" t="str">
        <x:v>Image input with missing critical frame dimensions</x:v>
      </x:c>
      <x:c r="D104" s="6" t="str">
        <x:v>L2</x:v>
      </x:c>
      <x:c r="E104" s="6" t="str">
        <x:v>英文</x:v>
      </x:c>
      <x:c r="F104" s="6" t="str">
        <x:v>image</x:v>
      </x:c>
      <x:c r="G104" s="6" t="n">
        <x:v>1</x:v>
      </x:c>
      <x:c r="H104" s="6" t="str">
        <x:v>无数值标答引用</x:v>
      </x:c>
      <x:c r="I104" s="6" t="str">
        <x:v>G:/StructureClaw-All/structureclaw/tests/llm-benchmark/scenarios/multimodal_reverse_engineering/image-incomplete-dimensions.json</x:v>
      </x:c>
      <x:c r="J104" s="30" t="n">
        <x:f>COUNTIFS('300题规划'!$R$2:$R$301,A104)+COUNTIFS('300题规划'!$S$2:$S$301,A104)</x:f>
        <x:v>1</x:v>
      </x:c>
      <x:c r="K104" s="30" t="n">
        <x:f>COUNTIFS('300个模型'!$I$2:$I$301,A104)</x:f>
        <x:v>0</x:v>
      </x:c>
      <x:c r="L104" s="6" t="str">
        <x:v>题面/交互/素材来源；每题独立建模并按新契约重验真值</x:v>
      </x:c>
      <x:c r="M104" s="6" t="str">
        <x:v>fixtures/incomplete-dimensions.png</x:v>
      </x:c>
      <x:c r="N104" s="6" t="str">
        <x:v>未指定</x:v>
      </x:c>
    </x:row>
    <x:row r="105" ht="52.5" customHeight="1">
      <x:c r="A105" s="32" t="str">
        <x:v>image-multi-turn-en</x:v>
      </x:c>
      <x:c r="B105" s="11" t="str">
        <x:v>多模态逆向建模</x:v>
      </x:c>
      <x:c r="C105" s="11" t="str">
        <x:v>Upload image identify then add params and analyze</x:v>
      </x:c>
      <x:c r="D105" s="11" t="str">
        <x:v>L2</x:v>
      </x:c>
      <x:c r="E105" s="11" t="str">
        <x:v>英文</x:v>
      </x:c>
      <x:c r="F105" s="11" t="str">
        <x:v>image</x:v>
      </x:c>
      <x:c r="G105" s="11" t="n">
        <x:v>2</x:v>
      </x:c>
      <x:c r="H105" s="11" t="str">
        <x:v>truss-triangle-12m-3m-20k</x:v>
      </x:c>
      <x:c r="I105" s="11" t="str">
        <x:v>G:/StructureClaw-All/structureclaw/tests/llm-benchmark/scenarios/multimodal_reverse_engineering/image-multi-turn-en.json</x:v>
      </x:c>
      <x:c r="J105" s="30" t="n">
        <x:f>COUNTIFS('300题规划'!$R$2:$R$301,A105)+COUNTIFS('300题规划'!$S$2:$S$301,A105)</x:f>
        <x:v>0</x:v>
      </x:c>
      <x:c r="K105" s="30" t="n">
        <x:f>COUNTIFS('300个模型'!$I$2:$I$301,A105)</x:f>
        <x:v>0</x:v>
      </x:c>
      <x:c r="L105" s="11" t="str">
        <x:v>暂不直接引用；相近结构/输入样式已覆盖，可作后续素材备选</x:v>
      </x:c>
      <x:c r="M105" s="11" t="str">
        <x:v>fixtures/truss-diagram.png</x:v>
      </x:c>
      <x:c r="N105" s="11" t="str">
        <x:v>未指定</x:v>
      </x:c>
    </x:row>
    <x:row r="106" ht="52.5" customHeight="1">
      <x:c r="A106" s="33" t="str">
        <x:v>image-portal-frame-diagram</x:v>
      </x:c>
      <x:c r="B106" s="6" t="str">
        <x:v>多模态逆向建模</x:v>
      </x:c>
      <x:c r="C106" s="6" t="str">
        <x:v>上传门式刚架示意图，识别结构类型</x:v>
      </x:c>
      <x:c r="D106" s="6" t="str">
        <x:v>L2</x:v>
      </x:c>
      <x:c r="E106" s="6" t="str">
        <x:v>中文</x:v>
      </x:c>
      <x:c r="F106" s="6" t="str">
        <x:v>image</x:v>
      </x:c>
      <x:c r="G106" s="6" t="n">
        <x:v>1</x:v>
      </x:c>
      <x:c r="H106" s="6" t="str">
        <x:v>portal-simple-18m</x:v>
      </x:c>
      <x:c r="I106" s="6" t="str">
        <x:v>G:/StructureClaw-All/structureclaw/tests/llm-benchmark/scenarios/multimodal_reverse_engineering/image-portal-frame-diagram.json</x:v>
      </x:c>
      <x:c r="J106" s="30" t="n">
        <x:f>COUNTIFS('300题规划'!$R$2:$R$301,A106)+COUNTIFS('300题规划'!$S$2:$S$301,A106)</x:f>
        <x:v>0</x:v>
      </x:c>
      <x:c r="K106" s="30" t="n">
        <x:f>COUNTIFS('300个模型'!$I$2:$I$301,A106)</x:f>
        <x:v>0</x:v>
      </x:c>
      <x:c r="L106" s="6" t="str">
        <x:v>暂不直接引用；相近结构/输入样式已覆盖，可作后续素材备选</x:v>
      </x:c>
      <x:c r="M106" s="6" t="str">
        <x:v>fixtures/portal-frame-diagram.png</x:v>
      </x:c>
      <x:c r="N106" s="6" t="str">
        <x:v>未指定</x:v>
      </x:c>
    </x:row>
    <x:row r="107" ht="52.5" customHeight="1">
      <x:c r="A107" s="32" t="str">
        <x:v>image-truss-diagram</x:v>
      </x:c>
      <x:c r="B107" s="11" t="str">
        <x:v>多模态逆向建模</x:v>
      </x:c>
      <x:c r="C107" s="11" t="str">
        <x:v>上传桁架结构图，识别并分析</x:v>
      </x:c>
      <x:c r="D107" s="11" t="str">
        <x:v>L2</x:v>
      </x:c>
      <x:c r="E107" s="11" t="str">
        <x:v>中文</x:v>
      </x:c>
      <x:c r="F107" s="11" t="str">
        <x:v>image</x:v>
      </x:c>
      <x:c r="G107" s="11" t="n">
        <x:v>1</x:v>
      </x:c>
      <x:c r="H107" s="11" t="str">
        <x:v>truss-triangle-12m-3m-20k</x:v>
      </x:c>
      <x:c r="I107" s="11" t="str">
        <x:v>G:/StructureClaw-All/structureclaw/tests/llm-benchmark/scenarios/multimodal_reverse_engineering/image-truss-diagram.json</x:v>
      </x:c>
      <x:c r="J107" s="30" t="n">
        <x:f>COUNTIFS('300题规划'!$R$2:$R$301,A107)+COUNTIFS('300题规划'!$S$2:$S$301,A107)</x:f>
        <x:v>1</x:v>
      </x:c>
      <x:c r="K107" s="30" t="n">
        <x:f>COUNTIFS('300个模型'!$I$2:$I$301,A107)</x:f>
        <x:v>0</x:v>
      </x:c>
      <x:c r="L107" s="11" t="str">
        <x:v>题面/交互/素材来源；每题独立建模并按新契约重验真值</x:v>
      </x:c>
      <x:c r="M107" s="11" t="str">
        <x:v>fixtures/truss-diagram.png</x:v>
      </x:c>
      <x:c r="N107" s="11" t="str">
        <x:v>未指定</x:v>
      </x:c>
    </x:row>
    <x:row r="108" ht="52.5" customHeight="1">
      <x:c r="A108" s="33" t="str">
        <x:v>image-unclear-quality</x:v>
      </x:c>
      <x:c r="B108" s="6" t="str">
        <x:v>多模态逆向建模</x:v>
      </x:c>
      <x:c r="C108" s="6" t="str">
        <x:v>Blurry image should trigger clarification</x:v>
      </x:c>
      <x:c r="D108" s="6" t="str">
        <x:v>L2</x:v>
      </x:c>
      <x:c r="E108" s="6" t="str">
        <x:v>英文</x:v>
      </x:c>
      <x:c r="F108" s="6" t="str">
        <x:v>image</x:v>
      </x:c>
      <x:c r="G108" s="6" t="n">
        <x:v>1</x:v>
      </x:c>
      <x:c r="H108" s="6" t="str">
        <x:v>无数值标答引用</x:v>
      </x:c>
      <x:c r="I108" s="6" t="str">
        <x:v>G:/StructureClaw-All/structureclaw/tests/llm-benchmark/scenarios/multimodal_reverse_engineering/image-unclear-quality.json</x:v>
      </x:c>
      <x:c r="J108" s="30" t="n">
        <x:f>COUNTIFS('300题规划'!$R$2:$R$301,A108)+COUNTIFS('300题规划'!$S$2:$S$301,A108)</x:f>
        <x:v>1</x:v>
      </x:c>
      <x:c r="K108" s="30" t="n">
        <x:f>COUNTIFS('300个模型'!$I$2:$I$301,A108)</x:f>
        <x:v>0</x:v>
      </x:c>
      <x:c r="L108" s="6" t="str">
        <x:v>题面/交互/素材来源；每题独立建模并按新契约重验真值</x:v>
      </x:c>
      <x:c r="M108" s="6" t="str">
        <x:v>fixtures/blurry-image.png</x:v>
      </x:c>
      <x:c r="N108" s="6" t="str">
        <x:v>未指定</x:v>
      </x:c>
    </x:row>
    <x:row r="109" ht="52.5" customHeight="1">
      <x:c r="A109" s="32" t="str">
        <x:v>image-with-report</x:v>
      </x:c>
      <x:c r="B109" s="11" t="str">
        <x:v>多模态逆向建模</x:v>
      </x:c>
      <x:c r="C109" s="11" t="str">
        <x:v>上传图片+分析+生成报告</x:v>
      </x:c>
      <x:c r="D109" s="11" t="str">
        <x:v>L2</x:v>
      </x:c>
      <x:c r="E109" s="11" t="str">
        <x:v>中文</x:v>
      </x:c>
      <x:c r="F109" s="11" t="str">
        <x:v>image</x:v>
      </x:c>
      <x:c r="G109" s="11" t="n">
        <x:v>1</x:v>
      </x:c>
      <x:c r="H109" s="11" t="str">
        <x:v>beam-simple-6m</x:v>
      </x:c>
      <x:c r="I109" s="11" t="str">
        <x:v>G:/StructureClaw-All/structureclaw/tests/llm-benchmark/scenarios/multimodal_reverse_engineering/image-with-report.json</x:v>
      </x:c>
      <x:c r="J109" s="30" t="n">
        <x:f>COUNTIFS('300题规划'!$R$2:$R$301,A109)+COUNTIFS('300题规划'!$S$2:$S$301,A109)</x:f>
        <x:v>1</x:v>
      </x:c>
      <x:c r="K109" s="30" t="n">
        <x:f>COUNTIFS('300个模型'!$I$2:$I$301,A109)</x:f>
        <x:v>0</x:v>
      </x:c>
      <x:c r="L109" s="11" t="str">
        <x:v>题面/交互/素材来源；每题独立建模并按新契约重验真值</x:v>
      </x:c>
      <x:c r="M109" s="11" t="str">
        <x:v>fixtures/beam-sketch.png</x:v>
      </x:c>
      <x:c r="N109" s="11" t="str">
        <x:v>未指定</x:v>
      </x:c>
    </x:row>
    <x:row r="110" ht="52.5" customHeight="1">
      <x:c r="A110" s="33" t="str">
        <x:v>mm-cropped-frame-should-clarify</x:v>
      </x:c>
      <x:c r="B110" s="6" t="str">
        <x:v>多模态逆向建模</x:v>
      </x:c>
      <x:c r="C110" s="6" t="str">
        <x:v>Cropped frame drawing should trigger clarification</x:v>
      </x:c>
      <x:c r="D110" s="6" t="str">
        <x:v>L3</x:v>
      </x:c>
      <x:c r="E110" s="6" t="str">
        <x:v>英文</x:v>
      </x:c>
      <x:c r="F110" s="6" t="str">
        <x:v>image</x:v>
      </x:c>
      <x:c r="G110" s="6" t="n">
        <x:v>1</x:v>
      </x:c>
      <x:c r="H110" s="6" t="str">
        <x:v>无数值标答引用</x:v>
      </x:c>
      <x:c r="I110" s="6" t="str">
        <x:v>G:/StructureClaw-All/structureclaw/tests/llm-benchmark/scenarios/multimodal_reverse_engineering/mm-cropped-frame-should-clarify.json</x:v>
      </x:c>
      <x:c r="J110" s="30" t="n">
        <x:f>COUNTIFS('300题规划'!$R$2:$R$301,A110)+COUNTIFS('300题规划'!$S$2:$S$301,A110)</x:f>
        <x:v>1</x:v>
      </x:c>
      <x:c r="K110" s="30" t="n">
        <x:f>COUNTIFS('300个模型'!$I$2:$I$301,A110)</x:f>
        <x:v>0</x:v>
      </x:c>
      <x:c r="L110" s="6" t="str">
        <x:v>题面/交互/素材来源；每题独立建模并按新契约重验真值</x:v>
      </x:c>
      <x:c r="M110" s="6" t="str">
        <x:v>fixtures/cropped-frame-sketch.png</x:v>
      </x:c>
      <x:c r="N110" s="6" t="str">
        <x:v>未指定</x:v>
      </x:c>
    </x:row>
    <x:row r="111" ht="52.5" customHeight="1">
      <x:c r="A111" s="32" t="str">
        <x:v>re-arch-frame-complex-2s2b</x:v>
      </x:c>
      <x:c r="B111" s="11" t="str">
        <x:v>多模态逆向建模</x:v>
      </x:c>
      <x:c r="C111" s="11" t="str">
        <x:v>Architectural elevation DXF reverse engineering: 2-story 2-bay frame building</x:v>
      </x:c>
      <x:c r="D111" s="11" t="str">
        <x:v>L3</x:v>
      </x:c>
      <x:c r="E111" s="11" t="str">
        <x:v>英文</x:v>
      </x:c>
      <x:c r="F111" s="11" t="str">
        <x:v>dxf</x:v>
      </x:c>
      <x:c r="G111" s="11" t="n">
        <x:v>1</x:v>
      </x:c>
      <x:c r="H111" s="11" t="str">
        <x:v>frame-complex-2s2b</x:v>
      </x:c>
      <x:c r="I111" s="11" t="str">
        <x:v>G:/StructureClaw-All/structureclaw/tests/llm-benchmark/scenarios/multimodal_reverse_engineering/re-arch-frame-complex-2s2b.json</x:v>
      </x:c>
      <x:c r="J111" s="30" t="n">
        <x:f>COUNTIFS('300题规划'!$R$2:$R$301,A111)+COUNTIFS('300题规划'!$S$2:$S$301,A111)</x:f>
        <x:v>0</x:v>
      </x:c>
      <x:c r="K111" s="30" t="n">
        <x:f>COUNTIFS('300个模型'!$I$2:$I$301,A111)</x:f>
        <x:v>0</x:v>
      </x:c>
      <x:c r="L111" s="11" t="str">
        <x:v>暂不直接引用；相近结构/输入样式已覆盖，可作后续素材备选</x:v>
      </x:c>
      <x:c r="M111" s="11" t="str">
        <x:v>fixtures/drawings/arch-frame-complex-2s2b.dxf</x:v>
      </x:c>
      <x:c r="N111" s="11" t="str">
        <x:v>未指定</x:v>
      </x:c>
    </x:row>
    <x:row r="112" ht="52.5" customHeight="1">
      <x:c r="A112" s="33" t="str">
        <x:v>re-arch-frame-simple-1s1b</x:v>
      </x:c>
      <x:c r="B112" s="6" t="str">
        <x:v>多模态逆向建模</x:v>
      </x:c>
      <x:c r="C112" s="6" t="str">
        <x:v>建筑立面DXF反问题：单层单跨框架办公楼</x:v>
      </x:c>
      <x:c r="D112" s="6" t="str">
        <x:v>L3</x:v>
      </x:c>
      <x:c r="E112" s="6" t="str">
        <x:v>中文</x:v>
      </x:c>
      <x:c r="F112" s="6" t="str">
        <x:v>dxf</x:v>
      </x:c>
      <x:c r="G112" s="6" t="n">
        <x:v>1</x:v>
      </x:c>
      <x:c r="H112" s="6" t="str">
        <x:v>frame-simple-1s1b</x:v>
      </x:c>
      <x:c r="I112" s="6" t="str">
        <x:v>G:/StructureClaw-All/structureclaw/tests/llm-benchmark/scenarios/multimodal_reverse_engineering/re-arch-frame-simple-1s1b.json</x:v>
      </x:c>
      <x:c r="J112" s="30" t="n">
        <x:f>COUNTIFS('300题规划'!$R$2:$R$301,A112)+COUNTIFS('300题规划'!$S$2:$S$301,A112)</x:f>
        <x:v>1</x:v>
      </x:c>
      <x:c r="K112" s="30" t="n">
        <x:f>COUNTIFS('300个模型'!$I$2:$I$301,A112)</x:f>
        <x:v>0</x:v>
      </x:c>
      <x:c r="L112" s="6" t="str">
        <x:v>题面/交互/素材来源；每题独立建模并按新契约重验真值</x:v>
      </x:c>
      <x:c r="M112" s="6" t="str">
        <x:v>fixtures/drawings/arch-frame-simple-1s1b.dxf</x:v>
      </x:c>
      <x:c r="N112" s="6" t="str">
        <x:v>未指定</x:v>
      </x:c>
    </x:row>
    <x:row r="113" ht="52.5" customHeight="1">
      <x:c r="A113" s="32" t="str">
        <x:v>re-arch-frame3d-complex</x:v>
      </x:c>
      <x:c r="B113" s="11" t="str">
        <x:v>多模态逆向建模</x:v>
      </x:c>
      <x:c r="C113" s="11" t="str">
        <x:v>建筑平面图反问题：2层复杂空间框架</x:v>
      </x:c>
      <x:c r="D113" s="11" t="str">
        <x:v>L3</x:v>
      </x:c>
      <x:c r="E113" s="11" t="str">
        <x:v>中文</x:v>
      </x:c>
      <x:c r="F113" s="11" t="str">
        <x:v>dxf</x:v>
      </x:c>
      <x:c r="G113" s="11" t="n">
        <x:v>1</x:v>
      </x:c>
      <x:c r="H113" s="11" t="str">
        <x:v>frame3d-complex</x:v>
      </x:c>
      <x:c r="I113" s="11" t="str">
        <x:v>G:/StructureClaw-All/structureclaw/tests/llm-benchmark/scenarios/multimodal_reverse_engineering/re-arch-frame3d-complex.json</x:v>
      </x:c>
      <x:c r="J113" s="30" t="n">
        <x:f>COUNTIFS('300题规划'!$R$2:$R$301,A113)+COUNTIFS('300题规划'!$S$2:$S$301,A113)</x:f>
        <x:v>1</x:v>
      </x:c>
      <x:c r="K113" s="30" t="n">
        <x:f>COUNTIFS('300个模型'!$I$2:$I$301,A113)</x:f>
        <x:v>0</x:v>
      </x:c>
      <x:c r="L113" s="11" t="str">
        <x:v>题面/交互/素材来源；每题独立建模并按新契约重验真值</x:v>
      </x:c>
      <x:c r="M113" s="11" t="str">
        <x:v>fixtures/drawings/arch-frame3d-complex.dxf</x:v>
      </x:c>
      <x:c r="N113" s="11" t="str">
        <x:v>未指定</x:v>
      </x:c>
    </x:row>
    <x:row r="114" ht="52.5" customHeight="1">
      <x:c r="A114" s="33" t="str">
        <x:v>re-arch-frame3d-concrete</x:v>
      </x:c>
      <x:c r="B114" s="6" t="str">
        <x:v>多模态逆向建模</x:v>
      </x:c>
      <x:c r="C114" s="6" t="str">
        <x:v>Architectural DXF reverse engineering: 3D concrete frame</x:v>
      </x:c>
      <x:c r="D114" s="6" t="str">
        <x:v>L3</x:v>
      </x:c>
      <x:c r="E114" s="6" t="str">
        <x:v>英文</x:v>
      </x:c>
      <x:c r="F114" s="6" t="str">
        <x:v>dxf</x:v>
      </x:c>
      <x:c r="G114" s="6" t="n">
        <x:v>1</x:v>
      </x:c>
      <x:c r="H114" s="6" t="str">
        <x:v>frame3d-concrete</x:v>
      </x:c>
      <x:c r="I114" s="6" t="str">
        <x:v>G:/StructureClaw-All/structureclaw/tests/llm-benchmark/scenarios/multimodal_reverse_engineering/re-arch-frame3d-concrete.json</x:v>
      </x:c>
      <x:c r="J114" s="30" t="n">
        <x:f>COUNTIFS('300题规划'!$R$2:$R$301,A114)+COUNTIFS('300题规划'!$S$2:$S$301,A114)</x:f>
        <x:v>0</x:v>
      </x:c>
      <x:c r="K114" s="30" t="n">
        <x:f>COUNTIFS('300个模型'!$I$2:$I$301,A114)</x:f>
        <x:v>0</x:v>
      </x:c>
      <x:c r="L114" s="6" t="str">
        <x:v>暂不直接引用；相近结构/输入样式已覆盖，可作后续素材备选</x:v>
      </x:c>
      <x:c r="M114" s="6" t="str">
        <x:v>fixtures/drawings/arch-frame3d-concrete.dxf</x:v>
      </x:c>
      <x:c r="N114" s="6" t="str">
        <x:v>未指定</x:v>
      </x:c>
    </x:row>
    <x:row r="115" ht="52.5" customHeight="1">
      <x:c r="A115" s="32" t="str">
        <x:v>re-arch-frame3d-simple</x:v>
      </x:c>
      <x:c r="B115" s="11" t="str">
        <x:v>多模态逆向建模</x:v>
      </x:c>
      <x:c r="C115" s="11" t="str">
        <x:v>Architectural DXF reverse engineering: simple 2-story 3D steel frame</x:v>
      </x:c>
      <x:c r="D115" s="11" t="str">
        <x:v>L3</x:v>
      </x:c>
      <x:c r="E115" s="11" t="str">
        <x:v>英文</x:v>
      </x:c>
      <x:c r="F115" s="11" t="str">
        <x:v>dxf</x:v>
      </x:c>
      <x:c r="G115" s="11" t="n">
        <x:v>1</x:v>
      </x:c>
      <x:c r="H115" s="11" t="str">
        <x:v>frame3d-simple</x:v>
      </x:c>
      <x:c r="I115" s="11" t="str">
        <x:v>G:/StructureClaw-All/structureclaw/tests/llm-benchmark/scenarios/multimodal_reverse_engineering/re-arch-frame3d-simple.json</x:v>
      </x:c>
      <x:c r="J115" s="30" t="n">
        <x:f>COUNTIFS('300题规划'!$R$2:$R$301,A115)+COUNTIFS('300题规划'!$S$2:$S$301,A115)</x:f>
        <x:v>0</x:v>
      </x:c>
      <x:c r="K115" s="30" t="n">
        <x:f>COUNTIFS('300个模型'!$I$2:$I$301,A115)</x:f>
        <x:v>0</x:v>
      </x:c>
      <x:c r="L115" s="11" t="str">
        <x:v>暂不直接引用；相近结构/输入样式已覆盖，可作后续素材备选</x:v>
      </x:c>
      <x:c r="M115" s="11" t="str">
        <x:v>fixtures/drawings/arch-frame3d-simple.dxf</x:v>
      </x:c>
      <x:c r="N115" s="11" t="str">
        <x:v>未指定</x:v>
      </x:c>
    </x:row>
    <x:row r="116" ht="52.5" customHeight="1">
      <x:c r="A116" s="33" t="str">
        <x:v>re-arch-portal-simple-18m</x:v>
      </x:c>
      <x:c r="B116" s="6" t="str">
        <x:v>多模态逆向建模</x:v>
      </x:c>
      <x:c r="C116" s="6" t="str">
        <x:v>建筑立面DXF反问题：单层工业厂房</x:v>
      </x:c>
      <x:c r="D116" s="6" t="str">
        <x:v>L3</x:v>
      </x:c>
      <x:c r="E116" s="6" t="str">
        <x:v>中文</x:v>
      </x:c>
      <x:c r="F116" s="6" t="str">
        <x:v>dxf</x:v>
      </x:c>
      <x:c r="G116" s="6" t="n">
        <x:v>1</x:v>
      </x:c>
      <x:c r="H116" s="6" t="str">
        <x:v>portal-simple-18m</x:v>
      </x:c>
      <x:c r="I116" s="6" t="str">
        <x:v>G:/StructureClaw-All/structureclaw/tests/llm-benchmark/scenarios/multimodal_reverse_engineering/re-arch-portal-simple-18m.json</x:v>
      </x:c>
      <x:c r="J116" s="30" t="n">
        <x:f>COUNTIFS('300题规划'!$R$2:$R$301,A116)+COUNTIFS('300题规划'!$S$2:$S$301,A116)</x:f>
        <x:v>1</x:v>
      </x:c>
      <x:c r="K116" s="30" t="n">
        <x:f>COUNTIFS('300个模型'!$I$2:$I$301,A116)</x:f>
        <x:v>0</x:v>
      </x:c>
      <x:c r="L116" s="6" t="str">
        <x:v>题面/交互/素材来源；每题独立建模并按新契约重验真值</x:v>
      </x:c>
      <x:c r="M116" s="6" t="str">
        <x:v>fixtures/drawings/arch-portal-simple-18m.dxf</x:v>
      </x:c>
      <x:c r="N116" s="6" t="str">
        <x:v>未指定</x:v>
      </x:c>
    </x:row>
    <x:row r="117" ht="52.5" customHeight="1">
      <x:c r="A117" s="32" t="str">
        <x:v>re-beam-complex-12m-construction</x:v>
      </x:c>
      <x:c r="B117" s="11" t="str">
        <x:v>多模态逆向建模</x:v>
      </x:c>
      <x:c r="C117" s="11" t="str">
        <x:v>Reverse engineering: construction drawing of 12m beam with point load</x:v>
      </x:c>
      <x:c r="D117" s="11" t="str">
        <x:v>L2</x:v>
      </x:c>
      <x:c r="E117" s="11" t="str">
        <x:v>英文</x:v>
      </x:c>
      <x:c r="F117" s="11" t="str">
        <x:v>image</x:v>
      </x:c>
      <x:c r="G117" s="11" t="n">
        <x:v>1</x:v>
      </x:c>
      <x:c r="H117" s="11" t="str">
        <x:v>beam-complex-12m</x:v>
      </x:c>
      <x:c r="I117" s="11" t="str">
        <x:v>G:/StructureClaw-All/structureclaw/tests/llm-benchmark/scenarios/multimodal_reverse_engineering/re-beam-complex-12m-construction.json</x:v>
      </x:c>
      <x:c r="J117" s="30" t="n">
        <x:f>COUNTIFS('300题规划'!$R$2:$R$301,A117)+COUNTIFS('300题规划'!$S$2:$S$301,A117)</x:f>
        <x:v>1</x:v>
      </x:c>
      <x:c r="K117" s="30" t="n">
        <x:f>COUNTIFS('300个模型'!$I$2:$I$301,A117)</x:f>
        <x:v>0</x:v>
      </x:c>
      <x:c r="L117" s="11" t="str">
        <x:v>题面/交互/素材来源；每题独立建模并按新契约重验真值</x:v>
      </x:c>
      <x:c r="M117" s="11" t="str">
        <x:v>fixtures/drawings/beam-complex-12m-construction.png</x:v>
      </x:c>
      <x:c r="N117" s="11" t="str">
        <x:v>未指定</x:v>
      </x:c>
    </x:row>
    <x:row r="118" ht="52.5" customHeight="1">
      <x:c r="A118" s="33" t="str">
        <x:v>re-beam-complex-12m-mechanics</x:v>
      </x:c>
      <x:c r="B118" s="6" t="str">
        <x:v>多模态逆向建模</x:v>
      </x:c>
      <x:c r="C118" s="6" t="str">
        <x:v>反问题：力学简图重建简支梁12m+集中力</x:v>
      </x:c>
      <x:c r="D118" s="6" t="str">
        <x:v>L2</x:v>
      </x:c>
      <x:c r="E118" s="6" t="str">
        <x:v>中文</x:v>
      </x:c>
      <x:c r="F118" s="6" t="str">
        <x:v>image</x:v>
      </x:c>
      <x:c r="G118" s="6" t="n">
        <x:v>1</x:v>
      </x:c>
      <x:c r="H118" s="6" t="str">
        <x:v>beam-complex-12m</x:v>
      </x:c>
      <x:c r="I118" s="6" t="str">
        <x:v>G:/StructureClaw-All/structureclaw/tests/llm-benchmark/scenarios/multimodal_reverse_engineering/re-beam-complex-12m-mechanics.json</x:v>
      </x:c>
      <x:c r="J118" s="30" t="n">
        <x:f>COUNTIFS('300题规划'!$R$2:$R$301,A118)+COUNTIFS('300题规划'!$S$2:$S$301,A118)</x:f>
        <x:v>0</x:v>
      </x:c>
      <x:c r="K118" s="30" t="n">
        <x:f>COUNTIFS('300个模型'!$I$2:$I$301,A118)</x:f>
        <x:v>0</x:v>
      </x:c>
      <x:c r="L118" s="6" t="str">
        <x:v>暂不直接引用；相近结构/输入样式已覆盖，可作后续素材备选</x:v>
      </x:c>
      <x:c r="M118" s="6" t="str">
        <x:v>fixtures/drawings/beam-complex-12m-mechanics.png</x:v>
      </x:c>
      <x:c r="N118" s="6" t="str">
        <x:v>未指定</x:v>
      </x:c>
    </x:row>
    <x:row r="119" ht="52.5" customHeight="1">
      <x:c r="A119" s="32" t="str">
        <x:v>re-beam-simple-6m-construction</x:v>
      </x:c>
      <x:c r="B119" s="11" t="str">
        <x:v>多模态逆向建模</x:v>
      </x:c>
      <x:c r="C119" s="11" t="str">
        <x:v>反问题：施工图重建简支梁6m</x:v>
      </x:c>
      <x:c r="D119" s="11" t="str">
        <x:v>L2</x:v>
      </x:c>
      <x:c r="E119" s="11" t="str">
        <x:v>中文</x:v>
      </x:c>
      <x:c r="F119" s="11" t="str">
        <x:v>image</x:v>
      </x:c>
      <x:c r="G119" s="11" t="n">
        <x:v>1</x:v>
      </x:c>
      <x:c r="H119" s="11" t="str">
        <x:v>beam-simple-6m</x:v>
      </x:c>
      <x:c r="I119" s="11" t="str">
        <x:v>G:/StructureClaw-All/structureclaw/tests/llm-benchmark/scenarios/multimodal_reverse_engineering/re-beam-simple-6m-construction.json</x:v>
      </x:c>
      <x:c r="J119" s="30" t="n">
        <x:f>COUNTIFS('300题规划'!$R$2:$R$301,A119)+COUNTIFS('300题规划'!$S$2:$S$301,A119)</x:f>
        <x:v>0</x:v>
      </x:c>
      <x:c r="K119" s="30" t="n">
        <x:f>COUNTIFS('300个模型'!$I$2:$I$301,A119)</x:f>
        <x:v>0</x:v>
      </x:c>
      <x:c r="L119" s="11" t="str">
        <x:v>暂不直接引用；相近结构/输入样式已覆盖，可作后续素材备选</x:v>
      </x:c>
      <x:c r="M119" s="11" t="str">
        <x:v>fixtures/drawings/beam-simple-6m-construction.png</x:v>
      </x:c>
      <x:c r="N119" s="11" t="str">
        <x:v>未指定</x:v>
      </x:c>
    </x:row>
    <x:row r="120" ht="52.5" customHeight="1">
      <x:c r="A120" s="33" t="str">
        <x:v>re-beam-simple-6m-mechanics</x:v>
      </x:c>
      <x:c r="B120" s="6" t="str">
        <x:v>多模态逆向建模</x:v>
      </x:c>
      <x:c r="C120" s="6" t="str">
        <x:v>Reverse engineering: mechanics diagram of 6m simply supported beam</x:v>
      </x:c>
      <x:c r="D120" s="6" t="str">
        <x:v>L2</x:v>
      </x:c>
      <x:c r="E120" s="6" t="str">
        <x:v>英文</x:v>
      </x:c>
      <x:c r="F120" s="6" t="str">
        <x:v>image</x:v>
      </x:c>
      <x:c r="G120" s="6" t="n">
        <x:v>1</x:v>
      </x:c>
      <x:c r="H120" s="6" t="str">
        <x:v>beam-simple-6m</x:v>
      </x:c>
      <x:c r="I120" s="6" t="str">
        <x:v>G:/StructureClaw-All/structureclaw/tests/llm-benchmark/scenarios/multimodal_reverse_engineering/re-beam-simple-6m-mechanics.json</x:v>
      </x:c>
      <x:c r="J120" s="30" t="n">
        <x:f>COUNTIFS('300题规划'!$R$2:$R$301,A120)+COUNTIFS('300题规划'!$S$2:$S$301,A120)</x:f>
        <x:v>1</x:v>
      </x:c>
      <x:c r="K120" s="30" t="n">
        <x:f>COUNTIFS('300个模型'!$I$2:$I$301,A120)</x:f>
        <x:v>0</x:v>
      </x:c>
      <x:c r="L120" s="6" t="str">
        <x:v>题面/交互/素材来源；每题独立建模并按新契约重验真值</x:v>
      </x:c>
      <x:c r="M120" s="6" t="str">
        <x:v>fixtures/drawings/beam-simple-6m-mechanics.png</x:v>
      </x:c>
      <x:c r="N120" s="6" t="str">
        <x:v>未指定</x:v>
      </x:c>
    </x:row>
    <x:row r="121" ht="52.5" customHeight="1">
      <x:c r="A121" s="32" t="str">
        <x:v>re-dspan-complex-3span-construction</x:v>
      </x:c>
      <x:c r="B121" s="11" t="str">
        <x:v>多模态逆向建模</x:v>
      </x:c>
      <x:c r="C121" s="11" t="str">
        <x:v>Reverse engineering: construction drawing of 4+5+4m continuous beam</x:v>
      </x:c>
      <x:c r="D121" s="11" t="str">
        <x:v>L2</x:v>
      </x:c>
      <x:c r="E121" s="11" t="str">
        <x:v>英文</x:v>
      </x:c>
      <x:c r="F121" s="11" t="str">
        <x:v>image</x:v>
      </x:c>
      <x:c r="G121" s="11" t="n">
        <x:v>1</x:v>
      </x:c>
      <x:c r="H121" s="11" t="str">
        <x:v>dspan-complex-3span</x:v>
      </x:c>
      <x:c r="I121" s="11" t="str">
        <x:v>G:/StructureClaw-All/structureclaw/tests/llm-benchmark/scenarios/multimodal_reverse_engineering/re-dspan-complex-3span-construction.json</x:v>
      </x:c>
      <x:c r="J121" s="30" t="n">
        <x:f>COUNTIFS('300题规划'!$R$2:$R$301,A121)+COUNTIFS('300题规划'!$S$2:$S$301,A121)</x:f>
        <x:v>1</x:v>
      </x:c>
      <x:c r="K121" s="30" t="n">
        <x:f>COUNTIFS('300个模型'!$I$2:$I$301,A121)</x:f>
        <x:v>0</x:v>
      </x:c>
      <x:c r="L121" s="11" t="str">
        <x:v>题面/交互/素材来源；每题独立建模并按新契约重验真值</x:v>
      </x:c>
      <x:c r="M121" s="11" t="str">
        <x:v>fixtures/drawings/dspan-complex-3span-construction.png</x:v>
      </x:c>
      <x:c r="N121" s="11" t="str">
        <x:v>未指定</x:v>
      </x:c>
    </x:row>
    <x:row r="122" ht="52.5" customHeight="1">
      <x:c r="A122" s="33" t="str">
        <x:v>re-dspan-complex-3span-mechanics</x:v>
      </x:c>
      <x:c r="B122" s="6" t="str">
        <x:v>多模态逆向建模</x:v>
      </x:c>
      <x:c r="C122" s="6" t="str">
        <x:v>反问题：力学简图重建三跨连续梁4+5+4m</x:v>
      </x:c>
      <x:c r="D122" s="6" t="str">
        <x:v>L2</x:v>
      </x:c>
      <x:c r="E122" s="6" t="str">
        <x:v>中文</x:v>
      </x:c>
      <x:c r="F122" s="6" t="str">
        <x:v>image</x:v>
      </x:c>
      <x:c r="G122" s="6" t="n">
        <x:v>1</x:v>
      </x:c>
      <x:c r="H122" s="6" t="str">
        <x:v>dspan-complex-3span</x:v>
      </x:c>
      <x:c r="I122" s="6" t="str">
        <x:v>G:/StructureClaw-All/structureclaw/tests/llm-benchmark/scenarios/multimodal_reverse_engineering/re-dspan-complex-3span-mechanics.json</x:v>
      </x:c>
      <x:c r="J122" s="30" t="n">
        <x:f>COUNTIFS('300题规划'!$R$2:$R$301,A122)+COUNTIFS('300题规划'!$S$2:$S$301,A122)</x:f>
        <x:v>0</x:v>
      </x:c>
      <x:c r="K122" s="30" t="n">
        <x:f>COUNTIFS('300个模型'!$I$2:$I$301,A122)</x:f>
        <x:v>0</x:v>
      </x:c>
      <x:c r="L122" s="6" t="str">
        <x:v>暂不直接引用；相近结构/输入样式已覆盖，可作后续素材备选</x:v>
      </x:c>
      <x:c r="M122" s="6" t="str">
        <x:v>fixtures/drawings/dspan-complex-3span-mechanics.png</x:v>
      </x:c>
      <x:c r="N122" s="6" t="str">
        <x:v>未指定</x:v>
      </x:c>
    </x:row>
    <x:row r="123" ht="52.5" customHeight="1">
      <x:c r="A123" s="32" t="str">
        <x:v>re-dspan-simple-5-6-construction</x:v>
      </x:c>
      <x:c r="B123" s="11" t="str">
        <x:v>多模态逆向建模</x:v>
      </x:c>
      <x:c r="C123" s="11" t="str">
        <x:v>反问题：施工图重建双跨连续梁5+6m</x:v>
      </x:c>
      <x:c r="D123" s="11" t="str">
        <x:v>L2</x:v>
      </x:c>
      <x:c r="E123" s="11" t="str">
        <x:v>中文</x:v>
      </x:c>
      <x:c r="F123" s="11" t="str">
        <x:v>image</x:v>
      </x:c>
      <x:c r="G123" s="11" t="n">
        <x:v>1</x:v>
      </x:c>
      <x:c r="H123" s="11" t="str">
        <x:v>dspan-simple-5-6</x:v>
      </x:c>
      <x:c r="I123" s="11" t="str">
        <x:v>G:/StructureClaw-All/structureclaw/tests/llm-benchmark/scenarios/multimodal_reverse_engineering/re-dspan-simple-5-6-construction.json</x:v>
      </x:c>
      <x:c r="J123" s="30" t="n">
        <x:f>COUNTIFS('300题规划'!$R$2:$R$301,A123)+COUNTIFS('300题规划'!$S$2:$S$301,A123)</x:f>
        <x:v>0</x:v>
      </x:c>
      <x:c r="K123" s="30" t="n">
        <x:f>COUNTIFS('300个模型'!$I$2:$I$301,A123)</x:f>
        <x:v>0</x:v>
      </x:c>
      <x:c r="L123" s="11" t="str">
        <x:v>暂不直接引用；相近结构/输入样式已覆盖，可作后续素材备选</x:v>
      </x:c>
      <x:c r="M123" s="11" t="str">
        <x:v>fixtures/drawings/dspan-simple-5-6-construction.png</x:v>
      </x:c>
      <x:c r="N123" s="11" t="str">
        <x:v>未指定</x:v>
      </x:c>
    </x:row>
    <x:row r="124" ht="52.5" customHeight="1">
      <x:c r="A124" s="33" t="str">
        <x:v>re-dspan-simple-5-6-mechanics</x:v>
      </x:c>
      <x:c r="B124" s="6" t="str">
        <x:v>多模态逆向建模</x:v>
      </x:c>
      <x:c r="C124" s="6" t="str">
        <x:v>Reverse engineering: mechanics diagram of 5+6m continuous beam</x:v>
      </x:c>
      <x:c r="D124" s="6" t="str">
        <x:v>L2</x:v>
      </x:c>
      <x:c r="E124" s="6" t="str">
        <x:v>英文</x:v>
      </x:c>
      <x:c r="F124" s="6" t="str">
        <x:v>image</x:v>
      </x:c>
      <x:c r="G124" s="6" t="n">
        <x:v>1</x:v>
      </x:c>
      <x:c r="H124" s="6" t="str">
        <x:v>dspan-simple-5-6</x:v>
      </x:c>
      <x:c r="I124" s="6" t="str">
        <x:v>G:/StructureClaw-All/structureclaw/tests/llm-benchmark/scenarios/multimodal_reverse_engineering/re-dspan-simple-5-6-mechanics.json</x:v>
      </x:c>
      <x:c r="J124" s="30" t="n">
        <x:f>COUNTIFS('300题规划'!$R$2:$R$301,A124)+COUNTIFS('300题规划'!$S$2:$S$301,A124)</x:f>
        <x:v>1</x:v>
      </x:c>
      <x:c r="K124" s="30" t="n">
        <x:f>COUNTIFS('300个模型'!$I$2:$I$301,A124)</x:f>
        <x:v>0</x:v>
      </x:c>
      <x:c r="L124" s="6" t="str">
        <x:v>题面/交互/素材来源；每题独立建模并按新契约重验真值</x:v>
      </x:c>
      <x:c r="M124" s="6" t="str">
        <x:v>fixtures/drawings/dspan-simple-5-6-mechanics.png</x:v>
      </x:c>
      <x:c r="N124" s="6" t="str">
        <x:v>未指定</x:v>
      </x:c>
    </x:row>
    <x:row r="125" ht="52.5" customHeight="1">
      <x:c r="A125" s="32" t="str">
        <x:v>re-dxf-beam-simple-6m</x:v>
      </x:c>
      <x:c r="B125" s="11" t="str">
        <x:v>多模态逆向建模</x:v>
      </x:c>
      <x:c r="C125" s="11" t="str">
        <x:v>DXF reverse engineering: 6m simply supported beam</x:v>
      </x:c>
      <x:c r="D125" s="11" t="str">
        <x:v>L3</x:v>
      </x:c>
      <x:c r="E125" s="11" t="str">
        <x:v>英文</x:v>
      </x:c>
      <x:c r="F125" s="11" t="str">
        <x:v>dxf</x:v>
      </x:c>
      <x:c r="G125" s="11" t="n">
        <x:v>1</x:v>
      </x:c>
      <x:c r="H125" s="11" t="str">
        <x:v>beam-simple-6m</x:v>
      </x:c>
      <x:c r="I125" s="11" t="str">
        <x:v>G:/StructureClaw-All/structureclaw/tests/llm-benchmark/scenarios/multimodal_reverse_engineering/re-dxf-beam-simple-6m.json</x:v>
      </x:c>
      <x:c r="J125" s="30" t="n">
        <x:f>COUNTIFS('300题规划'!$R$2:$R$301,A125)+COUNTIFS('300题规划'!$S$2:$S$301,A125)</x:f>
        <x:v>0</x:v>
      </x:c>
      <x:c r="K125" s="30" t="n">
        <x:f>COUNTIFS('300个模型'!$I$2:$I$301,A125)</x:f>
        <x:v>0</x:v>
      </x:c>
      <x:c r="L125" s="11" t="str">
        <x:v>暂不直接引用；相近结构/输入样式已覆盖，可作后续素材备选</x:v>
      </x:c>
      <x:c r="M125" s="11" t="str">
        <x:v>fixtures/drawings/beam-simple-6m.dxf</x:v>
      </x:c>
      <x:c r="N125" s="11" t="str">
        <x:v>未指定</x:v>
      </x:c>
    </x:row>
    <x:row r="126" ht="52.5" customHeight="1">
      <x:c r="A126" s="33" t="str">
        <x:v>re-dxf-dspan-simple-5-6</x:v>
      </x:c>
      <x:c r="B126" s="6" t="str">
        <x:v>多模态逆向建模</x:v>
      </x:c>
      <x:c r="C126" s="6" t="str">
        <x:v>DXF反问题：双跨连续梁5+6m</x:v>
      </x:c>
      <x:c r="D126" s="6" t="str">
        <x:v>L3</x:v>
      </x:c>
      <x:c r="E126" s="6" t="str">
        <x:v>中文</x:v>
      </x:c>
      <x:c r="F126" s="6" t="str">
        <x:v>dxf</x:v>
      </x:c>
      <x:c r="G126" s="6" t="n">
        <x:v>1</x:v>
      </x:c>
      <x:c r="H126" s="6" t="str">
        <x:v>dspan-simple-5-6</x:v>
      </x:c>
      <x:c r="I126" s="6" t="str">
        <x:v>G:/StructureClaw-All/structureclaw/tests/llm-benchmark/scenarios/multimodal_reverse_engineering/re-dxf-dspan-simple-5-6.json</x:v>
      </x:c>
      <x:c r="J126" s="30" t="n">
        <x:f>COUNTIFS('300题规划'!$R$2:$R$301,A126)+COUNTIFS('300题规划'!$S$2:$S$301,A126)</x:f>
        <x:v>0</x:v>
      </x:c>
      <x:c r="K126" s="30" t="n">
        <x:f>COUNTIFS('300个模型'!$I$2:$I$301,A126)</x:f>
        <x:v>0</x:v>
      </x:c>
      <x:c r="L126" s="6" t="str">
        <x:v>暂不直接引用；相近结构/输入样式已覆盖，可作后续素材备选</x:v>
      </x:c>
      <x:c r="M126" s="6" t="str">
        <x:v>fixtures/drawings/dspan-simple-5-6.dxf</x:v>
      </x:c>
      <x:c r="N126" s="6" t="str">
        <x:v>未指定</x:v>
      </x:c>
    </x:row>
    <x:row r="127" ht="52.5" customHeight="1">
      <x:c r="A127" s="32" t="str">
        <x:v>re-dxf-frame-complex-2s2b</x:v>
      </x:c>
      <x:c r="B127" s="11" t="str">
        <x:v>多模态逆向建模</x:v>
      </x:c>
      <x:c r="C127" s="11" t="str">
        <x:v>DXF reverse engineering: 2-story 2-bay steel frame</x:v>
      </x:c>
      <x:c r="D127" s="11" t="str">
        <x:v>L3</x:v>
      </x:c>
      <x:c r="E127" s="11" t="str">
        <x:v>英文</x:v>
      </x:c>
      <x:c r="F127" s="11" t="str">
        <x:v>dxf</x:v>
      </x:c>
      <x:c r="G127" s="11" t="n">
        <x:v>1</x:v>
      </x:c>
      <x:c r="H127" s="11" t="str">
        <x:v>frame-complex-2s2b</x:v>
      </x:c>
      <x:c r="I127" s="11" t="str">
        <x:v>G:/StructureClaw-All/structureclaw/tests/llm-benchmark/scenarios/multimodal_reverse_engineering/re-dxf-frame-complex-2s2b.json</x:v>
      </x:c>
      <x:c r="J127" s="30" t="n">
        <x:f>COUNTIFS('300题规划'!$R$2:$R$301,A127)+COUNTIFS('300题规划'!$S$2:$S$301,A127)</x:f>
        <x:v>2</x:v>
      </x:c>
      <x:c r="K127" s="30" t="n">
        <x:f>COUNTIFS('300个模型'!$I$2:$I$301,A127)</x:f>
        <x:v>3</x:v>
      </x:c>
      <x:c r="L127" s="11" t="str">
        <x:v>题面/交互/素材来源；每题独立建模并按新契约重验真值</x:v>
      </x:c>
      <x:c r="M127" s="11" t="str">
        <x:v>fixtures/drawings/frame-complex-2s2b.dxf</x:v>
      </x:c>
      <x:c r="N127" s="11" t="str">
        <x:v>未指定</x:v>
      </x:c>
    </x:row>
    <x:row r="128" ht="52.5" customHeight="1">
      <x:c r="A128" s="33" t="str">
        <x:v>re-dxf-frame-simple-1s1b</x:v>
      </x:c>
      <x:c r="B128" s="6" t="str">
        <x:v>多模态逆向建模</x:v>
      </x:c>
      <x:c r="C128" s="6" t="str">
        <x:v>DXF反问题：单层单跨框架</x:v>
      </x:c>
      <x:c r="D128" s="6" t="str">
        <x:v>L3</x:v>
      </x:c>
      <x:c r="E128" s="6" t="str">
        <x:v>中文</x:v>
      </x:c>
      <x:c r="F128" s="6" t="str">
        <x:v>dxf</x:v>
      </x:c>
      <x:c r="G128" s="6" t="n">
        <x:v>1</x:v>
      </x:c>
      <x:c r="H128" s="6" t="str">
        <x:v>frame-simple-1s1b</x:v>
      </x:c>
      <x:c r="I128" s="6" t="str">
        <x:v>G:/StructureClaw-All/structureclaw/tests/llm-benchmark/scenarios/multimodal_reverse_engineering/re-dxf-frame-simple-1s1b.json</x:v>
      </x:c>
      <x:c r="J128" s="30" t="n">
        <x:f>COUNTIFS('300题规划'!$R$2:$R$301,A128)+COUNTIFS('300题规划'!$S$2:$S$301,A128)</x:f>
        <x:v>0</x:v>
      </x:c>
      <x:c r="K128" s="30" t="n">
        <x:f>COUNTIFS('300个模型'!$I$2:$I$301,A128)</x:f>
        <x:v>0</x:v>
      </x:c>
      <x:c r="L128" s="6" t="str">
        <x:v>暂不直接引用；相近结构/输入样式已覆盖，可作后续素材备选</x:v>
      </x:c>
      <x:c r="M128" s="6" t="str">
        <x:v>fixtures/drawings/frame-simple-1s1b.dxf</x:v>
      </x:c>
      <x:c r="N128" s="6" t="str">
        <x:v>未指定</x:v>
      </x:c>
    </x:row>
    <x:row r="129" ht="52.5" customHeight="1">
      <x:c r="A129" s="32" t="str">
        <x:v>re-dxf-frame3d-complex</x:v>
      </x:c>
      <x:c r="B129" s="11" t="str">
        <x:v>多模态逆向建模</x:v>
      </x:c>
      <x:c r="C129" s="11" t="str">
        <x:v>DXF反问题：2层复杂空间钢框架</x:v>
      </x:c>
      <x:c r="D129" s="11" t="str">
        <x:v>L3</x:v>
      </x:c>
      <x:c r="E129" s="11" t="str">
        <x:v>中文</x:v>
      </x:c>
      <x:c r="F129" s="11" t="str">
        <x:v>dxf</x:v>
      </x:c>
      <x:c r="G129" s="11" t="n">
        <x:v>1</x:v>
      </x:c>
      <x:c r="H129" s="11" t="str">
        <x:v>frame3d-complex</x:v>
      </x:c>
      <x:c r="I129" s="11" t="str">
        <x:v>G:/StructureClaw-All/structureclaw/tests/llm-benchmark/scenarios/multimodal_reverse_engineering/re-dxf-frame3d-complex.json</x:v>
      </x:c>
      <x:c r="J129" s="30" t="n">
        <x:f>COUNTIFS('300题规划'!$R$2:$R$301,A129)+COUNTIFS('300题规划'!$S$2:$S$301,A129)</x:f>
        <x:v>0</x:v>
      </x:c>
      <x:c r="K129" s="30" t="n">
        <x:f>COUNTIFS('300个模型'!$I$2:$I$301,A129)</x:f>
        <x:v>0</x:v>
      </x:c>
      <x:c r="L129" s="11" t="str">
        <x:v>暂不直接引用；相近结构/输入样式已覆盖，可作后续素材备选</x:v>
      </x:c>
      <x:c r="M129" s="11" t="str">
        <x:v>fixtures/drawings/frame3d-complex.dxf</x:v>
      </x:c>
      <x:c r="N129" s="11" t="str">
        <x:v>未指定</x:v>
      </x:c>
    </x:row>
    <x:row r="130" ht="52.5" customHeight="1">
      <x:c r="A130" s="33" t="str">
        <x:v>re-dxf-frame3d-concrete</x:v>
      </x:c>
      <x:c r="B130" s="6" t="str">
        <x:v>多模态逆向建模</x:v>
      </x:c>
      <x:c r="C130" s="6" t="str">
        <x:v>DXF反问题：3D混凝土框架</x:v>
      </x:c>
      <x:c r="D130" s="6" t="str">
        <x:v>L3</x:v>
      </x:c>
      <x:c r="E130" s="6" t="str">
        <x:v>中文</x:v>
      </x:c>
      <x:c r="F130" s="6" t="str">
        <x:v>dxf</x:v>
      </x:c>
      <x:c r="G130" s="6" t="n">
        <x:v>1</x:v>
      </x:c>
      <x:c r="H130" s="6" t="str">
        <x:v>frame3d-concrete</x:v>
      </x:c>
      <x:c r="I130" s="6" t="str">
        <x:v>G:/StructureClaw-All/structureclaw/tests/llm-benchmark/scenarios/multimodal_reverse_engineering/re-dxf-frame3d-concrete.json</x:v>
      </x:c>
      <x:c r="J130" s="30" t="n">
        <x:f>COUNTIFS('300题规划'!$R$2:$R$301,A130)+COUNTIFS('300题规划'!$S$2:$S$301,A130)</x:f>
        <x:v>1</x:v>
      </x:c>
      <x:c r="K130" s="30" t="n">
        <x:f>COUNTIFS('300个模型'!$I$2:$I$301,A130)</x:f>
        <x:v>0</x:v>
      </x:c>
      <x:c r="L130" s="6" t="str">
        <x:v>题面/交互/素材来源；每题独立建模并按新契约重验真值</x:v>
      </x:c>
      <x:c r="M130" s="6" t="str">
        <x:v>fixtures/drawings/frame3d-concrete.dxf</x:v>
      </x:c>
      <x:c r="N130" s="6" t="str">
        <x:v>未指定</x:v>
      </x:c>
    </x:row>
    <x:row r="131" ht="52.5" customHeight="1">
      <x:c r="A131" s="32" t="str">
        <x:v>re-dxf-frame3d-simple</x:v>
      </x:c>
      <x:c r="B131" s="11" t="str">
        <x:v>多模态逆向建模</x:v>
      </x:c>
      <x:c r="C131" s="11" t="str">
        <x:v>DXF reverse engineering: simple 2-story 3D steel frame</x:v>
      </x:c>
      <x:c r="D131" s="11" t="str">
        <x:v>L3</x:v>
      </x:c>
      <x:c r="E131" s="11" t="str">
        <x:v>英文</x:v>
      </x:c>
      <x:c r="F131" s="11" t="str">
        <x:v>dxf</x:v>
      </x:c>
      <x:c r="G131" s="11" t="n">
        <x:v>1</x:v>
      </x:c>
      <x:c r="H131" s="11" t="str">
        <x:v>frame3d-simple</x:v>
      </x:c>
      <x:c r="I131" s="11" t="str">
        <x:v>G:/StructureClaw-All/structureclaw/tests/llm-benchmark/scenarios/multimodal_reverse_engineering/re-dxf-frame3d-simple.json</x:v>
      </x:c>
      <x:c r="J131" s="30" t="n">
        <x:f>COUNTIFS('300题规划'!$R$2:$R$301,A131)+COUNTIFS('300题规划'!$S$2:$S$301,A131)</x:f>
        <x:v>0</x:v>
      </x:c>
      <x:c r="K131" s="30" t="n">
        <x:f>COUNTIFS('300个模型'!$I$2:$I$301,A131)</x:f>
        <x:v>0</x:v>
      </x:c>
      <x:c r="L131" s="11" t="str">
        <x:v>暂不直接引用；相近结构/输入样式已覆盖，可作后续素材备选</x:v>
      </x:c>
      <x:c r="M131" s="11" t="str">
        <x:v>fixtures/drawings/frame3d-simple.dxf</x:v>
      </x:c>
      <x:c r="N131" s="11" t="str">
        <x:v>未指定</x:v>
      </x:c>
    </x:row>
    <x:row r="132" ht="52.5" customHeight="1">
      <x:c r="A132" s="33" t="str">
        <x:v>re-dxf-portal-simple-18m</x:v>
      </x:c>
      <x:c r="B132" s="6" t="str">
        <x:v>多模态逆向建模</x:v>
      </x:c>
      <x:c r="C132" s="6" t="str">
        <x:v>DXF reverse engineering: 18m portal frame</x:v>
      </x:c>
      <x:c r="D132" s="6" t="str">
        <x:v>L3</x:v>
      </x:c>
      <x:c r="E132" s="6" t="str">
        <x:v>英文</x:v>
      </x:c>
      <x:c r="F132" s="6" t="str">
        <x:v>dxf</x:v>
      </x:c>
      <x:c r="G132" s="6" t="n">
        <x:v>1</x:v>
      </x:c>
      <x:c r="H132" s="6" t="str">
        <x:v>portal-simple-18m</x:v>
      </x:c>
      <x:c r="I132" s="6" t="str">
        <x:v>G:/StructureClaw-All/structureclaw/tests/llm-benchmark/scenarios/multimodal_reverse_engineering/re-dxf-portal-simple-18m.json</x:v>
      </x:c>
      <x:c r="J132" s="30" t="n">
        <x:f>COUNTIFS('300题规划'!$R$2:$R$301,A132)+COUNTIFS('300题规划'!$S$2:$S$301,A132)</x:f>
        <x:v>0</x:v>
      </x:c>
      <x:c r="K132" s="30" t="n">
        <x:f>COUNTIFS('300个模型'!$I$2:$I$301,A132)</x:f>
        <x:v>0</x:v>
      </x:c>
      <x:c r="L132" s="6" t="str">
        <x:v>暂不直接引用；相近结构/输入样式已覆盖，可作后续素材备选</x:v>
      </x:c>
      <x:c r="M132" s="6" t="str">
        <x:v>fixtures/drawings/portal-simple-18m.dxf</x:v>
      </x:c>
      <x:c r="N132" s="6" t="str">
        <x:v>未指定</x:v>
      </x:c>
    </x:row>
    <x:row r="133" ht="52.5" customHeight="1">
      <x:c r="A133" s="32" t="str">
        <x:v>re-dxf-truss-simple-tri</x:v>
      </x:c>
      <x:c r="B133" s="11" t="str">
        <x:v>多模态逆向建模</x:v>
      </x:c>
      <x:c r="C133" s="11" t="str">
        <x:v>DXF reverse engineering: parallel-chord triangulated truss</x:v>
      </x:c>
      <x:c r="D133" s="11" t="str">
        <x:v>L3</x:v>
      </x:c>
      <x:c r="E133" s="11" t="str">
        <x:v>英文</x:v>
      </x:c>
      <x:c r="F133" s="11" t="str">
        <x:v>dxf</x:v>
      </x:c>
      <x:c r="G133" s="11" t="n">
        <x:v>1</x:v>
      </x:c>
      <x:c r="H133" s="11" t="str">
        <x:v>truss-simple-tri</x:v>
      </x:c>
      <x:c r="I133" s="11" t="str">
        <x:v>G:/StructureClaw-All/structureclaw/tests/llm-benchmark/scenarios/multimodal_reverse_engineering/re-dxf-truss-simple-tri.json</x:v>
      </x:c>
      <x:c r="J133" s="30" t="n">
        <x:f>COUNTIFS('300题规划'!$R$2:$R$301,A133)+COUNTIFS('300题规划'!$S$2:$S$301,A133)</x:f>
        <x:v>2</x:v>
      </x:c>
      <x:c r="K133" s="30" t="n">
        <x:f>COUNTIFS('300个模型'!$I$2:$I$301,A133)</x:f>
        <x:v>3</x:v>
      </x:c>
      <x:c r="L133" s="11" t="str">
        <x:v>题面/交互/素材来源；每题独立建模并按新契约重验真值</x:v>
      </x:c>
      <x:c r="M133" s="11" t="str">
        <x:v>fixtures/drawings/truss-simple-tri.dxf</x:v>
      </x:c>
      <x:c r="N133" s="11" t="str">
        <x:v>未指定</x:v>
      </x:c>
    </x:row>
    <x:row r="134" ht="52.5" customHeight="1">
      <x:c r="A134" s="33" t="str">
        <x:v>re-frame-complex-2s2b-construction</x:v>
      </x:c>
      <x:c r="B134" s="6" t="str">
        <x:v>多模态逆向建模</x:v>
      </x:c>
      <x:c r="C134" s="6" t="str">
        <x:v>Reverse engineering: construction drawing of 2-story 2-bay steel frame</x:v>
      </x:c>
      <x:c r="D134" s="6" t="str">
        <x:v>L2</x:v>
      </x:c>
      <x:c r="E134" s="6" t="str">
        <x:v>英文</x:v>
      </x:c>
      <x:c r="F134" s="6" t="str">
        <x:v>image</x:v>
      </x:c>
      <x:c r="G134" s="6" t="n">
        <x:v>1</x:v>
      </x:c>
      <x:c r="H134" s="6" t="str">
        <x:v>frame-complex-2s2b</x:v>
      </x:c>
      <x:c r="I134" s="6" t="str">
        <x:v>G:/StructureClaw-All/structureclaw/tests/llm-benchmark/scenarios/multimodal_reverse_engineering/re-frame-complex-2s2b-construction.json</x:v>
      </x:c>
      <x:c r="J134" s="30" t="n">
        <x:f>COUNTIFS('300题规划'!$R$2:$R$301,A134)+COUNTIFS('300题规划'!$S$2:$S$301,A134)</x:f>
        <x:v>0</x:v>
      </x:c>
      <x:c r="K134" s="30" t="n">
        <x:f>COUNTIFS('300个模型'!$I$2:$I$301,A134)</x:f>
        <x:v>0</x:v>
      </x:c>
      <x:c r="L134" s="6" t="str">
        <x:v>暂不直接引用；相近结构/输入样式已覆盖，可作后续素材备选</x:v>
      </x:c>
      <x:c r="M134" s="6" t="str">
        <x:v>fixtures/drawings/frame-complex-2s2b-construction.png</x:v>
      </x:c>
      <x:c r="N134" s="6" t="str">
        <x:v>未指定</x:v>
      </x:c>
    </x:row>
    <x:row r="135" ht="52.5" customHeight="1">
      <x:c r="A135" s="32" t="str">
        <x:v>re-frame-complex-2s2b-mechanics</x:v>
      </x:c>
      <x:c r="B135" s="11" t="str">
        <x:v>多模态逆向建模</x:v>
      </x:c>
      <x:c r="C135" s="11" t="str">
        <x:v>反问题：力学简图重建2层2跨框架</x:v>
      </x:c>
      <x:c r="D135" s="11" t="str">
        <x:v>L2</x:v>
      </x:c>
      <x:c r="E135" s="11" t="str">
        <x:v>中文</x:v>
      </x:c>
      <x:c r="F135" s="11" t="str">
        <x:v>image</x:v>
      </x:c>
      <x:c r="G135" s="11" t="n">
        <x:v>1</x:v>
      </x:c>
      <x:c r="H135" s="11" t="str">
        <x:v>frame-complex-2s2b</x:v>
      </x:c>
      <x:c r="I135" s="11" t="str">
        <x:v>G:/StructureClaw-All/structureclaw/tests/llm-benchmark/scenarios/multimodal_reverse_engineering/re-frame-complex-2s2b-mechanics.json</x:v>
      </x:c>
      <x:c r="J135" s="30" t="n">
        <x:f>COUNTIFS('300题规划'!$R$2:$R$301,A135)+COUNTIFS('300题规划'!$S$2:$S$301,A135)</x:f>
        <x:v>0</x:v>
      </x:c>
      <x:c r="K135" s="30" t="n">
        <x:f>COUNTIFS('300个模型'!$I$2:$I$301,A135)</x:f>
        <x:v>0</x:v>
      </x:c>
      <x:c r="L135" s="11" t="str">
        <x:v>暂不直接引用；相近结构/输入样式已覆盖，可作后续素材备选</x:v>
      </x:c>
      <x:c r="M135" s="11" t="str">
        <x:v>fixtures/drawings/frame-complex-2s2b-mechanics.png</x:v>
      </x:c>
      <x:c r="N135" s="11" t="str">
        <x:v>未指定</x:v>
      </x:c>
    </x:row>
    <x:row r="136" ht="52.5" customHeight="1">
      <x:c r="A136" s="33" t="str">
        <x:v>re-frame-simple-1s1b-construction</x:v>
      </x:c>
      <x:c r="B136" s="6" t="str">
        <x:v>多模态逆向建模</x:v>
      </x:c>
      <x:c r="C136" s="6" t="str">
        <x:v>反问题：施工图重建单层单跨框架</x:v>
      </x:c>
      <x:c r="D136" s="6" t="str">
        <x:v>L2</x:v>
      </x:c>
      <x:c r="E136" s="6" t="str">
        <x:v>中文</x:v>
      </x:c>
      <x:c r="F136" s="6" t="str">
        <x:v>image</x:v>
      </x:c>
      <x:c r="G136" s="6" t="n">
        <x:v>1</x:v>
      </x:c>
      <x:c r="H136" s="6" t="str">
        <x:v>frame-simple-1s1b</x:v>
      </x:c>
      <x:c r="I136" s="6" t="str">
        <x:v>G:/StructureClaw-All/structureclaw/tests/llm-benchmark/scenarios/multimodal_reverse_engineering/re-frame-simple-1s1b-construction.json</x:v>
      </x:c>
      <x:c r="J136" s="30" t="n">
        <x:f>COUNTIFS('300题规划'!$R$2:$R$301,A136)+COUNTIFS('300题规划'!$S$2:$S$301,A136)</x:f>
        <x:v>0</x:v>
      </x:c>
      <x:c r="K136" s="30" t="n">
        <x:f>COUNTIFS('300个模型'!$I$2:$I$301,A136)</x:f>
        <x:v>0</x:v>
      </x:c>
      <x:c r="L136" s="6" t="str">
        <x:v>暂不直接引用；相近结构/输入样式已覆盖，可作后续素材备选</x:v>
      </x:c>
      <x:c r="M136" s="6" t="str">
        <x:v>fixtures/drawings/frame-simple-1s1b-construction.png</x:v>
      </x:c>
      <x:c r="N136" s="6" t="str">
        <x:v>未指定</x:v>
      </x:c>
    </x:row>
    <x:row r="137" ht="52.5" customHeight="1">
      <x:c r="A137" s="32" t="str">
        <x:v>re-frame-simple-1s1b-mechanics</x:v>
      </x:c>
      <x:c r="B137" s="11" t="str">
        <x:v>多模态逆向建模</x:v>
      </x:c>
      <x:c r="C137" s="11" t="str">
        <x:v>Reverse engineering: mechanics diagram of single-story single-bay frame</x:v>
      </x:c>
      <x:c r="D137" s="11" t="str">
        <x:v>L2</x:v>
      </x:c>
      <x:c r="E137" s="11" t="str">
        <x:v>英文</x:v>
      </x:c>
      <x:c r="F137" s="11" t="str">
        <x:v>image</x:v>
      </x:c>
      <x:c r="G137" s="11" t="n">
        <x:v>1</x:v>
      </x:c>
      <x:c r="H137" s="11" t="str">
        <x:v>frame-simple-1s1b</x:v>
      </x:c>
      <x:c r="I137" s="11" t="str">
        <x:v>G:/StructureClaw-All/structureclaw/tests/llm-benchmark/scenarios/multimodal_reverse_engineering/re-frame-simple-1s1b-mechanics.json</x:v>
      </x:c>
      <x:c r="J137" s="30" t="n">
        <x:f>COUNTIFS('300题规划'!$R$2:$R$301,A137)+COUNTIFS('300题规划'!$S$2:$S$301,A137)</x:f>
        <x:v>1</x:v>
      </x:c>
      <x:c r="K137" s="30" t="n">
        <x:f>COUNTIFS('300个模型'!$I$2:$I$301,A137)</x:f>
        <x:v>3</x:v>
      </x:c>
      <x:c r="L137" s="11" t="str">
        <x:v>题面/交互/素材来源；每题独立建模并按新契约重验真值</x:v>
      </x:c>
      <x:c r="M137" s="11" t="str">
        <x:v>fixtures/drawings/frame-simple-1s1b-mechanics.png</x:v>
      </x:c>
      <x:c r="N137" s="11" t="str">
        <x:v>未指定</x:v>
      </x:c>
    </x:row>
    <x:row r="138" ht="52.5" customHeight="1">
      <x:c r="A138" s="33" t="str">
        <x:v>re-frame3d-complex-construction</x:v>
      </x:c>
      <x:c r="B138" s="6" t="str">
        <x:v>多模态逆向建模</x:v>
      </x:c>
      <x:c r="C138" s="6" t="str">
        <x:v>Reverse engineering: axonometric construction drawing of complex 3D steel frame</x:v>
      </x:c>
      <x:c r="D138" s="6" t="str">
        <x:v>L3</x:v>
      </x:c>
      <x:c r="E138" s="6" t="str">
        <x:v>英文</x:v>
      </x:c>
      <x:c r="F138" s="6" t="str">
        <x:v>image</x:v>
      </x:c>
      <x:c r="G138" s="6" t="n">
        <x:v>1</x:v>
      </x:c>
      <x:c r="H138" s="6" t="str">
        <x:v>frame3d-complex</x:v>
      </x:c>
      <x:c r="I138" s="6" t="str">
        <x:v>G:/StructureClaw-All/structureclaw/tests/llm-benchmark/scenarios/multimodal_reverse_engineering/re-frame3d-complex-construction.json</x:v>
      </x:c>
      <x:c r="J138" s="30" t="n">
        <x:f>COUNTIFS('300题规划'!$R$2:$R$301,A138)+COUNTIFS('300题规划'!$S$2:$S$301,A138)</x:f>
        <x:v>0</x:v>
      </x:c>
      <x:c r="K138" s="30" t="n">
        <x:f>COUNTIFS('300个模型'!$I$2:$I$301,A138)</x:f>
        <x:v>0</x:v>
      </x:c>
      <x:c r="L138" s="6" t="str">
        <x:v>暂不直接引用；相近结构/输入样式已覆盖，可作后续素材备选</x:v>
      </x:c>
      <x:c r="M138" s="6" t="str">
        <x:v>fixtures/drawings/frame3d-complex-construction.png</x:v>
      </x:c>
      <x:c r="N138" s="6" t="str">
        <x:v>未指定</x:v>
      </x:c>
    </x:row>
    <x:row r="139" ht="52.5" customHeight="1">
      <x:c r="A139" s="32" t="str">
        <x:v>re-frame3d-complex-mechanics</x:v>
      </x:c>
      <x:c r="B139" s="11" t="str">
        <x:v>多模态逆向建模</x:v>
      </x:c>
      <x:c r="C139" s="11" t="str">
        <x:v>反问题：轴测力学图重建2层复杂空间钢框架</x:v>
      </x:c>
      <x:c r="D139" s="11" t="str">
        <x:v>L3</x:v>
      </x:c>
      <x:c r="E139" s="11" t="str">
        <x:v>中文</x:v>
      </x:c>
      <x:c r="F139" s="11" t="str">
        <x:v>image</x:v>
      </x:c>
      <x:c r="G139" s="11" t="n">
        <x:v>1</x:v>
      </x:c>
      <x:c r="H139" s="11" t="str">
        <x:v>frame3d-complex</x:v>
      </x:c>
      <x:c r="I139" s="11" t="str">
        <x:v>G:/StructureClaw-All/structureclaw/tests/llm-benchmark/scenarios/multimodal_reverse_engineering/re-frame3d-complex-mechanics.json</x:v>
      </x:c>
      <x:c r="J139" s="30" t="n">
        <x:f>COUNTIFS('300题规划'!$R$2:$R$301,A139)+COUNTIFS('300题规划'!$S$2:$S$301,A139)</x:f>
        <x:v>0</x:v>
      </x:c>
      <x:c r="K139" s="30" t="n">
        <x:f>COUNTIFS('300个模型'!$I$2:$I$301,A139)</x:f>
        <x:v>0</x:v>
      </x:c>
      <x:c r="L139" s="11" t="str">
        <x:v>暂不直接引用；相近结构/输入样式已覆盖，可作后续素材备选</x:v>
      </x:c>
      <x:c r="M139" s="11" t="str">
        <x:v>fixtures/drawings/frame3d-complex-mechanics.png</x:v>
      </x:c>
      <x:c r="N139" s="11" t="str">
        <x:v>未指定</x:v>
      </x:c>
    </x:row>
    <x:row r="140" ht="52.5" customHeight="1">
      <x:c r="A140" s="33" t="str">
        <x:v>re-frame3d-concrete-construction</x:v>
      </x:c>
      <x:c r="B140" s="6" t="str">
        <x:v>多模态逆向建模</x:v>
      </x:c>
      <x:c r="C140" s="6" t="str">
        <x:v>反问题：轴测施工图重建3D混凝土框架</x:v>
      </x:c>
      <x:c r="D140" s="6" t="str">
        <x:v>L3</x:v>
      </x:c>
      <x:c r="E140" s="6" t="str">
        <x:v>中文</x:v>
      </x:c>
      <x:c r="F140" s="6" t="str">
        <x:v>image</x:v>
      </x:c>
      <x:c r="G140" s="6" t="n">
        <x:v>1</x:v>
      </x:c>
      <x:c r="H140" s="6" t="str">
        <x:v>frame3d-concrete</x:v>
      </x:c>
      <x:c r="I140" s="6" t="str">
        <x:v>G:/StructureClaw-All/structureclaw/tests/llm-benchmark/scenarios/multimodal_reverse_engineering/re-frame3d-concrete-construction.json</x:v>
      </x:c>
      <x:c r="J140" s="30" t="n">
        <x:f>COUNTIFS('300题规划'!$R$2:$R$301,A140)+COUNTIFS('300题规划'!$S$2:$S$301,A140)</x:f>
        <x:v>0</x:v>
      </x:c>
      <x:c r="K140" s="30" t="n">
        <x:f>COUNTIFS('300个模型'!$I$2:$I$301,A140)</x:f>
        <x:v>0</x:v>
      </x:c>
      <x:c r="L140" s="6" t="str">
        <x:v>暂不直接引用；相近结构/输入样式已覆盖，可作后续素材备选</x:v>
      </x:c>
      <x:c r="M140" s="6" t="str">
        <x:v>fixtures/drawings/frame3d-concrete-construction.png</x:v>
      </x:c>
      <x:c r="N140" s="6" t="str">
        <x:v>未指定</x:v>
      </x:c>
    </x:row>
    <x:row r="141" ht="52.5" customHeight="1">
      <x:c r="A141" s="32" t="str">
        <x:v>re-frame3d-concrete-mechanics</x:v>
      </x:c>
      <x:c r="B141" s="11" t="str">
        <x:v>多模态逆向建模</x:v>
      </x:c>
      <x:c r="C141" s="11" t="str">
        <x:v>反问题：轴测力学图重建3D混凝土框架</x:v>
      </x:c>
      <x:c r="D141" s="11" t="str">
        <x:v>L3</x:v>
      </x:c>
      <x:c r="E141" s="11" t="str">
        <x:v>中文</x:v>
      </x:c>
      <x:c r="F141" s="11" t="str">
        <x:v>image</x:v>
      </x:c>
      <x:c r="G141" s="11" t="n">
        <x:v>1</x:v>
      </x:c>
      <x:c r="H141" s="11" t="str">
        <x:v>frame3d-concrete</x:v>
      </x:c>
      <x:c r="I141" s="11" t="str">
        <x:v>G:/StructureClaw-All/structureclaw/tests/llm-benchmark/scenarios/multimodal_reverse_engineering/re-frame3d-concrete-mechanics.json</x:v>
      </x:c>
      <x:c r="J141" s="30" t="n">
        <x:f>COUNTIFS('300题规划'!$R$2:$R$301,A141)+COUNTIFS('300题规划'!$S$2:$S$301,A141)</x:f>
        <x:v>0</x:v>
      </x:c>
      <x:c r="K141" s="30" t="n">
        <x:f>COUNTIFS('300个模型'!$I$2:$I$301,A141)</x:f>
        <x:v>0</x:v>
      </x:c>
      <x:c r="L141" s="11" t="str">
        <x:v>暂不直接引用；相近结构/输入样式已覆盖，可作后续素材备选</x:v>
      </x:c>
      <x:c r="M141" s="11" t="str">
        <x:v>fixtures/drawings/frame3d-concrete-mechanics.png</x:v>
      </x:c>
      <x:c r="N141" s="11" t="str">
        <x:v>未指定</x:v>
      </x:c>
    </x:row>
    <x:row r="142" ht="52.5" customHeight="1">
      <x:c r="A142" s="33" t="str">
        <x:v>re-frame3d-simple-construction</x:v>
      </x:c>
      <x:c r="B142" s="6" t="str">
        <x:v>多模态逆向建模</x:v>
      </x:c>
      <x:c r="C142" s="6" t="str">
        <x:v>反问题：轴测施工图重建2层空间钢框架</x:v>
      </x:c>
      <x:c r="D142" s="6" t="str">
        <x:v>L3</x:v>
      </x:c>
      <x:c r="E142" s="6" t="str">
        <x:v>中文</x:v>
      </x:c>
      <x:c r="F142" s="6" t="str">
        <x:v>image</x:v>
      </x:c>
      <x:c r="G142" s="6" t="n">
        <x:v>1</x:v>
      </x:c>
      <x:c r="H142" s="6" t="str">
        <x:v>frame3d-simple</x:v>
      </x:c>
      <x:c r="I142" s="6" t="str">
        <x:v>G:/StructureClaw-All/structureclaw/tests/llm-benchmark/scenarios/multimodal_reverse_engineering/re-frame3d-simple-construction.json</x:v>
      </x:c>
      <x:c r="J142" s="30" t="n">
        <x:f>COUNTIFS('300题规划'!$R$2:$R$301,A142)+COUNTIFS('300题规划'!$S$2:$S$301,A142)</x:f>
        <x:v>1</x:v>
      </x:c>
      <x:c r="K142" s="30" t="n">
        <x:f>COUNTIFS('300个模型'!$I$2:$I$301,A142)</x:f>
        <x:v>0</x:v>
      </x:c>
      <x:c r="L142" s="6" t="str">
        <x:v>题面/交互/素材来源；每题独立建模并按新契约重验真值</x:v>
      </x:c>
      <x:c r="M142" s="6" t="str">
        <x:v>fixtures/drawings/frame3d-simple-construction.png</x:v>
      </x:c>
      <x:c r="N142" s="6" t="str">
        <x:v>未指定</x:v>
      </x:c>
    </x:row>
    <x:row r="143" ht="52.5" customHeight="1">
      <x:c r="A143" s="32" t="str">
        <x:v>re-frame3d-simple-mechanics</x:v>
      </x:c>
      <x:c r="B143" s="11" t="str">
        <x:v>多模态逆向建模</x:v>
      </x:c>
      <x:c r="C143" s="11" t="str">
        <x:v>Reverse engineering: axonometric mechanics diagram of simple 3D steel frame</x:v>
      </x:c>
      <x:c r="D143" s="11" t="str">
        <x:v>L3</x:v>
      </x:c>
      <x:c r="E143" s="11" t="str">
        <x:v>英文</x:v>
      </x:c>
      <x:c r="F143" s="11" t="str">
        <x:v>image</x:v>
      </x:c>
      <x:c r="G143" s="11" t="n">
        <x:v>1</x:v>
      </x:c>
      <x:c r="H143" s="11" t="str">
        <x:v>frame3d-simple</x:v>
      </x:c>
      <x:c r="I143" s="11" t="str">
        <x:v>G:/StructureClaw-All/structureclaw/tests/llm-benchmark/scenarios/multimodal_reverse_engineering/re-frame3d-simple-mechanics.json</x:v>
      </x:c>
      <x:c r="J143" s="30" t="n">
        <x:f>COUNTIFS('300题规划'!$R$2:$R$301,A143)+COUNTIFS('300题规划'!$S$2:$S$301,A143)</x:f>
        <x:v>0</x:v>
      </x:c>
      <x:c r="K143" s="30" t="n">
        <x:f>COUNTIFS('300个模型'!$I$2:$I$301,A143)</x:f>
        <x:v>0</x:v>
      </x:c>
      <x:c r="L143" s="11" t="str">
        <x:v>暂不直接引用；相近结构/输入样式已覆盖，可作后续素材备选</x:v>
      </x:c>
      <x:c r="M143" s="11" t="str">
        <x:v>fixtures/drawings/frame3d-simple-mechanics.png</x:v>
      </x:c>
      <x:c r="N143" s="11" t="str">
        <x:v>未指定</x:v>
      </x:c>
    </x:row>
    <x:row r="144" ht="52.5" customHeight="1">
      <x:c r="A144" s="33" t="str">
        <x:v>re-portal-complex-ds-construction</x:v>
      </x:c>
      <x:c r="B144" s="6" t="str">
        <x:v>多模态逆向建模</x:v>
      </x:c>
      <x:c r="C144" s="6" t="str">
        <x:v>Reverse engineering: construction drawing of double-span portal frame</x:v>
      </x:c>
      <x:c r="D144" s="6" t="str">
        <x:v>L2</x:v>
      </x:c>
      <x:c r="E144" s="6" t="str">
        <x:v>英文</x:v>
      </x:c>
      <x:c r="F144" s="6" t="str">
        <x:v>image</x:v>
      </x:c>
      <x:c r="G144" s="6" t="n">
        <x:v>1</x:v>
      </x:c>
      <x:c r="H144" s="6" t="str">
        <x:v>portal-complex-ds</x:v>
      </x:c>
      <x:c r="I144" s="6" t="str">
        <x:v>G:/StructureClaw-All/structureclaw/tests/llm-benchmark/scenarios/multimodal_reverse_engineering/re-portal-complex-ds-construction.json</x:v>
      </x:c>
      <x:c r="J144" s="30" t="n">
        <x:f>COUNTIFS('300题规划'!$R$2:$R$301,A144)+COUNTIFS('300题规划'!$S$2:$S$301,A144)</x:f>
        <x:v>0</x:v>
      </x:c>
      <x:c r="K144" s="30" t="n">
        <x:f>COUNTIFS('300个模型'!$I$2:$I$301,A144)</x:f>
        <x:v>0</x:v>
      </x:c>
      <x:c r="L144" s="6" t="str">
        <x:v>暂不直接引用；相近结构/输入样式已覆盖，可作后续素材备选</x:v>
      </x:c>
      <x:c r="M144" s="6" t="str">
        <x:v>fixtures/drawings/portal-complex-ds-construction.png</x:v>
      </x:c>
      <x:c r="N144" s="6" t="str">
        <x:v>未指定</x:v>
      </x:c>
    </x:row>
    <x:row r="145" ht="52.5" customHeight="1">
      <x:c r="A145" s="32" t="str">
        <x:v>re-portal-complex-ds-mechanics</x:v>
      </x:c>
      <x:c r="B145" s="11" t="str">
        <x:v>多模态逆向建模</x:v>
      </x:c>
      <x:c r="C145" s="11" t="str">
        <x:v>反问题：力学简图重建双跨门刚</x:v>
      </x:c>
      <x:c r="D145" s="11" t="str">
        <x:v>L2</x:v>
      </x:c>
      <x:c r="E145" s="11" t="str">
        <x:v>中文</x:v>
      </x:c>
      <x:c r="F145" s="11" t="str">
        <x:v>image</x:v>
      </x:c>
      <x:c r="G145" s="11" t="n">
        <x:v>1</x:v>
      </x:c>
      <x:c r="H145" s="11" t="str">
        <x:v>portal-complex-ds</x:v>
      </x:c>
      <x:c r="I145" s="11" t="str">
        <x:v>G:/StructureClaw-All/structureclaw/tests/llm-benchmark/scenarios/multimodal_reverse_engineering/re-portal-complex-ds-mechanics.json</x:v>
      </x:c>
      <x:c r="J145" s="30" t="n">
        <x:f>COUNTIFS('300题规划'!$R$2:$R$301,A145)+COUNTIFS('300题规划'!$S$2:$S$301,A145)</x:f>
        <x:v>1</x:v>
      </x:c>
      <x:c r="K145" s="30" t="n">
        <x:f>COUNTIFS('300个模型'!$I$2:$I$301,A145)</x:f>
        <x:v>0</x:v>
      </x:c>
      <x:c r="L145" s="11" t="str">
        <x:v>题面/交互/素材来源；每题独立建模并按新契约重验真值</x:v>
      </x:c>
      <x:c r="M145" s="11" t="str">
        <x:v>fixtures/drawings/portal-complex-ds-mechanics.png</x:v>
      </x:c>
      <x:c r="N145" s="11" t="str">
        <x:v>未指定</x:v>
      </x:c>
    </x:row>
    <x:row r="146" ht="52.5" customHeight="1">
      <x:c r="A146" s="33" t="str">
        <x:v>re-portal-simple-18m-construction</x:v>
      </x:c>
      <x:c r="B146" s="6" t="str">
        <x:v>多模态逆向建模</x:v>
      </x:c>
      <x:c r="C146" s="6" t="str">
        <x:v>反问题：施工图重建门式刚架18m</x:v>
      </x:c>
      <x:c r="D146" s="6" t="str">
        <x:v>L2</x:v>
      </x:c>
      <x:c r="E146" s="6" t="str">
        <x:v>中文</x:v>
      </x:c>
      <x:c r="F146" s="6" t="str">
        <x:v>image</x:v>
      </x:c>
      <x:c r="G146" s="6" t="n">
        <x:v>1</x:v>
      </x:c>
      <x:c r="H146" s="6" t="str">
        <x:v>portal-simple-18m</x:v>
      </x:c>
      <x:c r="I146" s="6" t="str">
        <x:v>G:/StructureClaw-All/structureclaw/tests/llm-benchmark/scenarios/multimodal_reverse_engineering/re-portal-simple-18m-construction.json</x:v>
      </x:c>
      <x:c r="J146" s="30" t="n">
        <x:f>COUNTIFS('300题规划'!$R$2:$R$301,A146)+COUNTIFS('300题规划'!$S$2:$S$301,A146)</x:f>
        <x:v>0</x:v>
      </x:c>
      <x:c r="K146" s="30" t="n">
        <x:f>COUNTIFS('300个模型'!$I$2:$I$301,A146)</x:f>
        <x:v>0</x:v>
      </x:c>
      <x:c r="L146" s="6" t="str">
        <x:v>暂不直接引用；相近结构/输入样式已覆盖，可作后续素材备选</x:v>
      </x:c>
      <x:c r="M146" s="6" t="str">
        <x:v>fixtures/drawings/portal-simple-18m-construction.png</x:v>
      </x:c>
      <x:c r="N146" s="6" t="str">
        <x:v>未指定</x:v>
      </x:c>
    </x:row>
    <x:row r="147" ht="52.5" customHeight="1">
      <x:c r="A147" s="32" t="str">
        <x:v>re-portal-simple-18m-mechanics</x:v>
      </x:c>
      <x:c r="B147" s="11" t="str">
        <x:v>多模态逆向建模</x:v>
      </x:c>
      <x:c r="C147" s="11" t="str">
        <x:v>Reverse engineering: mechanics diagram of 18m portal frame</x:v>
      </x:c>
      <x:c r="D147" s="11" t="str">
        <x:v>L2</x:v>
      </x:c>
      <x:c r="E147" s="11" t="str">
        <x:v>英文</x:v>
      </x:c>
      <x:c r="F147" s="11" t="str">
        <x:v>image</x:v>
      </x:c>
      <x:c r="G147" s="11" t="n">
        <x:v>1</x:v>
      </x:c>
      <x:c r="H147" s="11" t="str">
        <x:v>portal-simple-18m</x:v>
      </x:c>
      <x:c r="I147" s="11" t="str">
        <x:v>G:/StructureClaw-All/structureclaw/tests/llm-benchmark/scenarios/multimodal_reverse_engineering/re-portal-simple-18m-mechanics.json</x:v>
      </x:c>
      <x:c r="J147" s="30" t="n">
        <x:f>COUNTIFS('300题规划'!$R$2:$R$301,A147)+COUNTIFS('300题规划'!$S$2:$S$301,A147)</x:f>
        <x:v>0</x:v>
      </x:c>
      <x:c r="K147" s="30" t="n">
        <x:f>COUNTIFS('300个模型'!$I$2:$I$301,A147)</x:f>
        <x:v>0</x:v>
      </x:c>
      <x:c r="L147" s="11" t="str">
        <x:v>暂不直接引用；相近结构/输入样式已覆盖，可作后续素材备选</x:v>
      </x:c>
      <x:c r="M147" s="11" t="str">
        <x:v>fixtures/drawings/portal-simple-18m-mechanics.png</x:v>
      </x:c>
      <x:c r="N147" s="11" t="str">
        <x:v>未指定</x:v>
      </x:c>
    </x:row>
    <x:row r="148" ht="52.5" customHeight="1">
      <x:c r="A148" s="33" t="str">
        <x:v>re-truss-complex-trap-construction</x:v>
      </x:c>
      <x:c r="B148" s="6" t="str">
        <x:v>多模态逆向建模</x:v>
      </x:c>
      <x:c r="C148" s="6" t="str">
        <x:v>Reverse engineering: construction drawing of trapezoidal truss</x:v>
      </x:c>
      <x:c r="D148" s="6" t="str">
        <x:v>L2</x:v>
      </x:c>
      <x:c r="E148" s="6" t="str">
        <x:v>英文</x:v>
      </x:c>
      <x:c r="F148" s="6" t="str">
        <x:v>image</x:v>
      </x:c>
      <x:c r="G148" s="6" t="n">
        <x:v>1</x:v>
      </x:c>
      <x:c r="H148" s="6" t="str">
        <x:v>truss-complex-trap</x:v>
      </x:c>
      <x:c r="I148" s="6" t="str">
        <x:v>G:/StructureClaw-All/structureclaw/tests/llm-benchmark/scenarios/multimodal_reverse_engineering/re-truss-complex-trap-construction.json</x:v>
      </x:c>
      <x:c r="J148" s="30" t="n">
        <x:f>COUNTIFS('300题规划'!$R$2:$R$301,A148)+COUNTIFS('300题规划'!$S$2:$S$301,A148)</x:f>
        <x:v>1</x:v>
      </x:c>
      <x:c r="K148" s="30" t="n">
        <x:f>COUNTIFS('300个模型'!$I$2:$I$301,A148)</x:f>
        <x:v>0</x:v>
      </x:c>
      <x:c r="L148" s="6" t="str">
        <x:v>题面/交互/素材来源；每题独立建模并按新契约重验真值</x:v>
      </x:c>
      <x:c r="M148" s="6" t="str">
        <x:v>fixtures/drawings/truss-complex-trap-construction.png</x:v>
      </x:c>
      <x:c r="N148" s="6" t="str">
        <x:v>未指定</x:v>
      </x:c>
    </x:row>
    <x:row r="149" ht="52.5" customHeight="1">
      <x:c r="A149" s="32" t="str">
        <x:v>re-truss-complex-trap-mechanics</x:v>
      </x:c>
      <x:c r="B149" s="11" t="str">
        <x:v>多模态逆向建模</x:v>
      </x:c>
      <x:c r="C149" s="11" t="str">
        <x:v>反问题：力学简图重建梯形桁架</x:v>
      </x:c>
      <x:c r="D149" s="11" t="str">
        <x:v>L2</x:v>
      </x:c>
      <x:c r="E149" s="11" t="str">
        <x:v>中文</x:v>
      </x:c>
      <x:c r="F149" s="11" t="str">
        <x:v>image</x:v>
      </x:c>
      <x:c r="G149" s="11" t="n">
        <x:v>1</x:v>
      </x:c>
      <x:c r="H149" s="11" t="str">
        <x:v>truss-complex-trap</x:v>
      </x:c>
      <x:c r="I149" s="11" t="str">
        <x:v>G:/StructureClaw-All/structureclaw/tests/llm-benchmark/scenarios/multimodal_reverse_engineering/re-truss-complex-trap-mechanics.json</x:v>
      </x:c>
      <x:c r="J149" s="30" t="n">
        <x:f>COUNTIFS('300题规划'!$R$2:$R$301,A149)+COUNTIFS('300题规划'!$S$2:$S$301,A149)</x:f>
        <x:v>0</x:v>
      </x:c>
      <x:c r="K149" s="30" t="n">
        <x:f>COUNTIFS('300个模型'!$I$2:$I$301,A149)</x:f>
        <x:v>0</x:v>
      </x:c>
      <x:c r="L149" s="11" t="str">
        <x:v>暂不直接引用；相近结构/输入样式已覆盖，可作后续素材备选</x:v>
      </x:c>
      <x:c r="M149" s="11" t="str">
        <x:v>fixtures/drawings/truss-complex-trap-mechanics.png</x:v>
      </x:c>
      <x:c r="N149" s="11" t="str">
        <x:v>未指定</x:v>
      </x:c>
    </x:row>
    <x:row r="150" ht="52.5" customHeight="1">
      <x:c r="A150" s="33" t="str">
        <x:v>re-truss-simple-tri-construction</x:v>
      </x:c>
      <x:c r="B150" s="6" t="str">
        <x:v>多模态逆向建模</x:v>
      </x:c>
      <x:c r="C150" s="6" t="str">
        <x:v>反问题：施工图重建平行弦三角腹杆桁架</x:v>
      </x:c>
      <x:c r="D150" s="6" t="str">
        <x:v>L2</x:v>
      </x:c>
      <x:c r="E150" s="6" t="str">
        <x:v>中文</x:v>
      </x:c>
      <x:c r="F150" s="6" t="str">
        <x:v>image</x:v>
      </x:c>
      <x:c r="G150" s="6" t="n">
        <x:v>1</x:v>
      </x:c>
      <x:c r="H150" s="6" t="str">
        <x:v>truss-simple-tri</x:v>
      </x:c>
      <x:c r="I150" s="6" t="str">
        <x:v>G:/StructureClaw-All/structureclaw/tests/llm-benchmark/scenarios/multimodal_reverse_engineering/re-truss-simple-tri-construction.json</x:v>
      </x:c>
      <x:c r="J150" s="30" t="n">
        <x:f>COUNTIFS('300题规划'!$R$2:$R$301,A150)+COUNTIFS('300题规划'!$S$2:$S$301,A150)</x:f>
        <x:v>0</x:v>
      </x:c>
      <x:c r="K150" s="30" t="n">
        <x:f>COUNTIFS('300个模型'!$I$2:$I$301,A150)</x:f>
        <x:v>0</x:v>
      </x:c>
      <x:c r="L150" s="6" t="str">
        <x:v>暂不直接引用；相近结构/输入样式已覆盖，可作后续素材备选</x:v>
      </x:c>
      <x:c r="M150" s="6" t="str">
        <x:v>fixtures/drawings/truss-simple-tri-construction.png</x:v>
      </x:c>
      <x:c r="N150" s="6" t="str">
        <x:v>未指定</x:v>
      </x:c>
    </x:row>
    <x:row r="151" ht="52.5" customHeight="1">
      <x:c r="A151" s="34" t="str">
        <x:v>re-truss-simple-tri-mechanics</x:v>
      </x:c>
      <x:c r="B151" s="12" t="str">
        <x:v>多模态逆向建模</x:v>
      </x:c>
      <x:c r="C151" s="12" t="str">
        <x:v>Reverse engineering: mechanics diagram of parallel-chord triangulated truss</x:v>
      </x:c>
      <x:c r="D151" s="12" t="str">
        <x:v>L2</x:v>
      </x:c>
      <x:c r="E151" s="12" t="str">
        <x:v>英文</x:v>
      </x:c>
      <x:c r="F151" s="12" t="str">
        <x:v>image</x:v>
      </x:c>
      <x:c r="G151" s="12" t="n">
        <x:v>1</x:v>
      </x:c>
      <x:c r="H151" s="12" t="str">
        <x:v>truss-simple-tri</x:v>
      </x:c>
      <x:c r="I151" s="12" t="str">
        <x:v>G:/StructureClaw-All/structureclaw/tests/llm-benchmark/scenarios/multimodal_reverse_engineering/re-truss-simple-tri-mechanics.json</x:v>
      </x:c>
      <x:c r="J151" s="30" t="n">
        <x:f>COUNTIFS('300题规划'!$R$2:$R$301,A151)+COUNTIFS('300题规划'!$S$2:$S$301,A151)</x:f>
        <x:v>0</x:v>
      </x:c>
      <x:c r="K151" s="30" t="n">
        <x:f>COUNTIFS('300个模型'!$I$2:$I$301,A151)</x:f>
        <x:v>0</x:v>
      </x:c>
      <x:c r="L151" s="12" t="str">
        <x:v>暂不直接引用；相近结构/输入样式已覆盖，可作后续素材备选</x:v>
      </x:c>
      <x:c r="M151" s="12" t="str">
        <x:v>fixtures/drawings/truss-simple-tri-mechanics.png</x:v>
      </x:c>
      <x:c r="N151" s="12" t="str">
        <x:v>未指定</x:v>
      </x:c>
    </x:row>
  </x:sheetData>
  <x:pageMargins left="0.7" right="0.7" top="0.75" bottom="0.75" header="0.3" footer="0.3"/>
  <x:tableParts count="1">
    <x:tablePart xmlns:r="http://schemas.openxmlformats.org/officeDocument/2006/relationships" r:id="R220ba242821442cd"/>
  </x:tableParts>
</x:worksheet>
</file>